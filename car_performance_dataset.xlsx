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https://d.docs.live.net/3113182c3275b694/Documents/"/>
    </mc:Choice>
  </mc:AlternateContent>
  <xr:revisionPtr revIDLastSave="953" documentId="8_{C6E4A381-438D-483D-959A-87AB4CDC4C46}" xr6:coauthVersionLast="47" xr6:coauthVersionMax="47" xr10:uidLastSave="{532729A7-EE94-4569-AAF1-6D4B97037BD6}"/>
  <bookViews>
    <workbookView xWindow="-108" yWindow="-108" windowWidth="23256" windowHeight="12456" activeTab="2" xr2:uid="{00000000-000D-0000-FFFF-FFFF00000000}"/>
  </bookViews>
  <sheets>
    <sheet name="Car_Data" sheetId="1" r:id="rId1"/>
    <sheet name="PIVOT TABLE" sheetId="2" r:id="rId2"/>
    <sheet name="DASHBOARD" sheetId="3" r:id="rId3"/>
  </sheets>
  <definedNames>
    <definedName name="Slicer_Brand">#N/A</definedName>
    <definedName name="Slicer_Fuel_Type">#N/A</definedName>
    <definedName name="Slicer_Transmission">#N/A</definedName>
  </definedNames>
  <calcPr calcId="191029"/>
  <pivotCaches>
    <pivotCache cacheId="8"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5" i="3" l="1"/>
</calcChain>
</file>

<file path=xl/sharedStrings.xml><?xml version="1.0" encoding="utf-8"?>
<sst xmlns="http://schemas.openxmlformats.org/spreadsheetml/2006/main" count="1243" uniqueCount="334">
  <si>
    <t>Car</t>
  </si>
  <si>
    <t>Brand</t>
  </si>
  <si>
    <t>Engine_Size</t>
  </si>
  <si>
    <t>Horsepower</t>
  </si>
  <si>
    <t>MPG</t>
  </si>
  <si>
    <t>Weight</t>
  </si>
  <si>
    <t>Acceleration</t>
  </si>
  <si>
    <t>Cylinders</t>
  </si>
  <si>
    <t>Fuel_Type</t>
  </si>
  <si>
    <t>Transmission</t>
  </si>
  <si>
    <t>Car_1</t>
  </si>
  <si>
    <t>Toyota</t>
  </si>
  <si>
    <t>Electric</t>
  </si>
  <si>
    <t>CVT</t>
  </si>
  <si>
    <t>Car_2</t>
  </si>
  <si>
    <t>Ford</t>
  </si>
  <si>
    <t>Automatic</t>
  </si>
  <si>
    <t>Car_3</t>
  </si>
  <si>
    <t>Audi</t>
  </si>
  <si>
    <t>Petrol</t>
  </si>
  <si>
    <t>Car_4</t>
  </si>
  <si>
    <t>Car_5</t>
  </si>
  <si>
    <t>Manual</t>
  </si>
  <si>
    <t>Car_6</t>
  </si>
  <si>
    <t>Diesel</t>
  </si>
  <si>
    <t>Car_7</t>
  </si>
  <si>
    <t>Car_8</t>
  </si>
  <si>
    <t>Honda</t>
  </si>
  <si>
    <t>Car_9</t>
  </si>
  <si>
    <t>Car_10</t>
  </si>
  <si>
    <t>Tesla</t>
  </si>
  <si>
    <t>Car_11</t>
  </si>
  <si>
    <t>Car_12</t>
  </si>
  <si>
    <t>Car_13</t>
  </si>
  <si>
    <t>Car_14</t>
  </si>
  <si>
    <t>Car_15</t>
  </si>
  <si>
    <t>Car_16</t>
  </si>
  <si>
    <t>Car_17</t>
  </si>
  <si>
    <t>BMW</t>
  </si>
  <si>
    <t>Car_18</t>
  </si>
  <si>
    <t>Car_19</t>
  </si>
  <si>
    <t>Nissan</t>
  </si>
  <si>
    <t>Car_20</t>
  </si>
  <si>
    <t>Car_21</t>
  </si>
  <si>
    <t>Car_22</t>
  </si>
  <si>
    <t>Car_23</t>
  </si>
  <si>
    <t>Car_24</t>
  </si>
  <si>
    <t>Car_25</t>
  </si>
  <si>
    <t>Car_26</t>
  </si>
  <si>
    <t>Car_27</t>
  </si>
  <si>
    <t>Car_28</t>
  </si>
  <si>
    <t>Car_29</t>
  </si>
  <si>
    <t>Car_30</t>
  </si>
  <si>
    <t>Car_31</t>
  </si>
  <si>
    <t>Car_32</t>
  </si>
  <si>
    <t>Car_33</t>
  </si>
  <si>
    <t>Car_34</t>
  </si>
  <si>
    <t>Car_35</t>
  </si>
  <si>
    <t>Car_36</t>
  </si>
  <si>
    <t>Car_37</t>
  </si>
  <si>
    <t>Car_38</t>
  </si>
  <si>
    <t>Car_39</t>
  </si>
  <si>
    <t>Car_40</t>
  </si>
  <si>
    <t>Car_41</t>
  </si>
  <si>
    <t>Car_42</t>
  </si>
  <si>
    <t>Car_43</t>
  </si>
  <si>
    <t>Car_44</t>
  </si>
  <si>
    <t>Car_45</t>
  </si>
  <si>
    <t>Car_46</t>
  </si>
  <si>
    <t>Car_47</t>
  </si>
  <si>
    <t>Car_48</t>
  </si>
  <si>
    <t>Car_49</t>
  </si>
  <si>
    <t>Car_50</t>
  </si>
  <si>
    <t>Car_51</t>
  </si>
  <si>
    <t>Car_52</t>
  </si>
  <si>
    <t>Car_53</t>
  </si>
  <si>
    <t>Car_54</t>
  </si>
  <si>
    <t>Car_55</t>
  </si>
  <si>
    <t>Car_56</t>
  </si>
  <si>
    <t>Car_57</t>
  </si>
  <si>
    <t>Car_58</t>
  </si>
  <si>
    <t>Car_59</t>
  </si>
  <si>
    <t>Car_60</t>
  </si>
  <si>
    <t>Car_61</t>
  </si>
  <si>
    <t>Car_62</t>
  </si>
  <si>
    <t>Car_63</t>
  </si>
  <si>
    <t>Car_64</t>
  </si>
  <si>
    <t>Car_65</t>
  </si>
  <si>
    <t>Car_66</t>
  </si>
  <si>
    <t>Car_67</t>
  </si>
  <si>
    <t>Car_68</t>
  </si>
  <si>
    <t>Car_69</t>
  </si>
  <si>
    <t>Car_70</t>
  </si>
  <si>
    <t>Car_71</t>
  </si>
  <si>
    <t>Car_72</t>
  </si>
  <si>
    <t>Car_73</t>
  </si>
  <si>
    <t>Car_74</t>
  </si>
  <si>
    <t>Car_75</t>
  </si>
  <si>
    <t>Car_76</t>
  </si>
  <si>
    <t>Car_77</t>
  </si>
  <si>
    <t>Car_78</t>
  </si>
  <si>
    <t>Car_79</t>
  </si>
  <si>
    <t>Car_80</t>
  </si>
  <si>
    <t>Car_81</t>
  </si>
  <si>
    <t>Car_82</t>
  </si>
  <si>
    <t>Car_83</t>
  </si>
  <si>
    <t>Car_84</t>
  </si>
  <si>
    <t>Car_85</t>
  </si>
  <si>
    <t>Car_86</t>
  </si>
  <si>
    <t>Car_87</t>
  </si>
  <si>
    <t>Car_88</t>
  </si>
  <si>
    <t>Car_89</t>
  </si>
  <si>
    <t>Car_90</t>
  </si>
  <si>
    <t>Car_91</t>
  </si>
  <si>
    <t>Car_92</t>
  </si>
  <si>
    <t>Car_93</t>
  </si>
  <si>
    <t>Car_94</t>
  </si>
  <si>
    <t>Car_95</t>
  </si>
  <si>
    <t>Car_96</t>
  </si>
  <si>
    <t>Car_97</t>
  </si>
  <si>
    <t>Car_98</t>
  </si>
  <si>
    <t>Car_99</t>
  </si>
  <si>
    <t>Car_100</t>
  </si>
  <si>
    <t>Car_101</t>
  </si>
  <si>
    <t>Car_102</t>
  </si>
  <si>
    <t>Car_103</t>
  </si>
  <si>
    <t>Car_104</t>
  </si>
  <si>
    <t>Car_105</t>
  </si>
  <si>
    <t>Car_106</t>
  </si>
  <si>
    <t>Car_107</t>
  </si>
  <si>
    <t>Car_108</t>
  </si>
  <si>
    <t>Car_109</t>
  </si>
  <si>
    <t>Car_110</t>
  </si>
  <si>
    <t>Car_111</t>
  </si>
  <si>
    <t>Car_112</t>
  </si>
  <si>
    <t>Car_113</t>
  </si>
  <si>
    <t>Car_114</t>
  </si>
  <si>
    <t>Car_115</t>
  </si>
  <si>
    <t>Car_116</t>
  </si>
  <si>
    <t>Car_117</t>
  </si>
  <si>
    <t>Car_118</t>
  </si>
  <si>
    <t>Car_119</t>
  </si>
  <si>
    <t>Car_120</t>
  </si>
  <si>
    <t>Car_121</t>
  </si>
  <si>
    <t>Car_122</t>
  </si>
  <si>
    <t>Car_123</t>
  </si>
  <si>
    <t>Car_124</t>
  </si>
  <si>
    <t>Car_125</t>
  </si>
  <si>
    <t>Car_126</t>
  </si>
  <si>
    <t>Car_127</t>
  </si>
  <si>
    <t>Car_128</t>
  </si>
  <si>
    <t>Car_129</t>
  </si>
  <si>
    <t>Car_130</t>
  </si>
  <si>
    <t>Car_131</t>
  </si>
  <si>
    <t>Car_132</t>
  </si>
  <si>
    <t>Car_133</t>
  </si>
  <si>
    <t>Car_134</t>
  </si>
  <si>
    <t>Car_135</t>
  </si>
  <si>
    <t>Car_136</t>
  </si>
  <si>
    <t>Car_137</t>
  </si>
  <si>
    <t>Car_138</t>
  </si>
  <si>
    <t>Car_139</t>
  </si>
  <si>
    <t>Car_140</t>
  </si>
  <si>
    <t>Car_141</t>
  </si>
  <si>
    <t>Car_142</t>
  </si>
  <si>
    <t>Car_143</t>
  </si>
  <si>
    <t>Car_144</t>
  </si>
  <si>
    <t>Car_145</t>
  </si>
  <si>
    <t>Car_146</t>
  </si>
  <si>
    <t>Car_147</t>
  </si>
  <si>
    <t>Car_148</t>
  </si>
  <si>
    <t>Car_149</t>
  </si>
  <si>
    <t>Car_150</t>
  </si>
  <si>
    <t>Car_151</t>
  </si>
  <si>
    <t>Car_152</t>
  </si>
  <si>
    <t>Car_153</t>
  </si>
  <si>
    <t>Car_154</t>
  </si>
  <si>
    <t>Car_155</t>
  </si>
  <si>
    <t>Car_156</t>
  </si>
  <si>
    <t>Car_157</t>
  </si>
  <si>
    <t>Car_158</t>
  </si>
  <si>
    <t>Car_159</t>
  </si>
  <si>
    <t>Car_160</t>
  </si>
  <si>
    <t>Car_161</t>
  </si>
  <si>
    <t>Car_162</t>
  </si>
  <si>
    <t>Car_163</t>
  </si>
  <si>
    <t>Car_164</t>
  </si>
  <si>
    <t>Car_165</t>
  </si>
  <si>
    <t>Car_166</t>
  </si>
  <si>
    <t>Car_167</t>
  </si>
  <si>
    <t>Car_168</t>
  </si>
  <si>
    <t>Car_169</t>
  </si>
  <si>
    <t>Car_170</t>
  </si>
  <si>
    <t>Car_171</t>
  </si>
  <si>
    <t>Car_172</t>
  </si>
  <si>
    <t>Car_173</t>
  </si>
  <si>
    <t>Car_174</t>
  </si>
  <si>
    <t>Car_175</t>
  </si>
  <si>
    <t>Car_176</t>
  </si>
  <si>
    <t>Car_177</t>
  </si>
  <si>
    <t>Car_178</t>
  </si>
  <si>
    <t>Car_179</t>
  </si>
  <si>
    <t>Car_180</t>
  </si>
  <si>
    <t>Car_181</t>
  </si>
  <si>
    <t>Car_182</t>
  </si>
  <si>
    <t>Car_183</t>
  </si>
  <si>
    <t>Car_184</t>
  </si>
  <si>
    <t>Car_185</t>
  </si>
  <si>
    <t>Car_186</t>
  </si>
  <si>
    <t>Car_187</t>
  </si>
  <si>
    <t>Car_188</t>
  </si>
  <si>
    <t>Car_189</t>
  </si>
  <si>
    <t>Car_190</t>
  </si>
  <si>
    <t>Car_191</t>
  </si>
  <si>
    <t>Car_192</t>
  </si>
  <si>
    <t>Car_193</t>
  </si>
  <si>
    <t>Car_194</t>
  </si>
  <si>
    <t>Car_195</t>
  </si>
  <si>
    <t>Car_196</t>
  </si>
  <si>
    <t>Car_197</t>
  </si>
  <si>
    <t>Car_198</t>
  </si>
  <si>
    <t>Car_199</t>
  </si>
  <si>
    <t>Car_200</t>
  </si>
  <si>
    <t>Car_201</t>
  </si>
  <si>
    <t>Car_202</t>
  </si>
  <si>
    <t>Car_203</t>
  </si>
  <si>
    <t>Car_204</t>
  </si>
  <si>
    <t>Car_205</t>
  </si>
  <si>
    <t>Car_206</t>
  </si>
  <si>
    <t>Car_207</t>
  </si>
  <si>
    <t>Car_208</t>
  </si>
  <si>
    <t>Car_209</t>
  </si>
  <si>
    <t>Car_210</t>
  </si>
  <si>
    <t>Car_211</t>
  </si>
  <si>
    <t>Car_212</t>
  </si>
  <si>
    <t>Car_213</t>
  </si>
  <si>
    <t>Car_214</t>
  </si>
  <si>
    <t>Car_215</t>
  </si>
  <si>
    <t>Car_216</t>
  </si>
  <si>
    <t>Car_217</t>
  </si>
  <si>
    <t>Car_218</t>
  </si>
  <si>
    <t>Car_219</t>
  </si>
  <si>
    <t>Car_220</t>
  </si>
  <si>
    <t>Car_221</t>
  </si>
  <si>
    <t>Car_222</t>
  </si>
  <si>
    <t>Car_223</t>
  </si>
  <si>
    <t>Car_224</t>
  </si>
  <si>
    <t>Car_225</t>
  </si>
  <si>
    <t>Car_226</t>
  </si>
  <si>
    <t>Car_227</t>
  </si>
  <si>
    <t>Car_228</t>
  </si>
  <si>
    <t>Car_229</t>
  </si>
  <si>
    <t>Car_230</t>
  </si>
  <si>
    <t>Car_231</t>
  </si>
  <si>
    <t>Car_232</t>
  </si>
  <si>
    <t>Car_233</t>
  </si>
  <si>
    <t>Car_234</t>
  </si>
  <si>
    <t>Car_235</t>
  </si>
  <si>
    <t>Car_236</t>
  </si>
  <si>
    <t>Car_237</t>
  </si>
  <si>
    <t>Car_238</t>
  </si>
  <si>
    <t>Car_239</t>
  </si>
  <si>
    <t>Car_240</t>
  </si>
  <si>
    <t>Car_241</t>
  </si>
  <si>
    <t>Car_242</t>
  </si>
  <si>
    <t>Car_243</t>
  </si>
  <si>
    <t>Car_244</t>
  </si>
  <si>
    <t>Car_245</t>
  </si>
  <si>
    <t>Car_246</t>
  </si>
  <si>
    <t>Car_247</t>
  </si>
  <si>
    <t>Car_248</t>
  </si>
  <si>
    <t>Car_249</t>
  </si>
  <si>
    <t>Car_250</t>
  </si>
  <si>
    <t>Car_251</t>
  </si>
  <si>
    <t>Car_252</t>
  </si>
  <si>
    <t>Car_253</t>
  </si>
  <si>
    <t>Car_254</t>
  </si>
  <si>
    <t>Car_255</t>
  </si>
  <si>
    <t>Car_256</t>
  </si>
  <si>
    <t>Car_257</t>
  </si>
  <si>
    <t>Car_258</t>
  </si>
  <si>
    <t>Car_259</t>
  </si>
  <si>
    <t>Car_260</t>
  </si>
  <si>
    <t>Car_261</t>
  </si>
  <si>
    <t>Car_262</t>
  </si>
  <si>
    <t>Car_263</t>
  </si>
  <si>
    <t>Car_264</t>
  </si>
  <si>
    <t>Car_265</t>
  </si>
  <si>
    <t>Car_266</t>
  </si>
  <si>
    <t>Car_267</t>
  </si>
  <si>
    <t>Car_268</t>
  </si>
  <si>
    <t>Car_269</t>
  </si>
  <si>
    <t>Car_270</t>
  </si>
  <si>
    <t>Car_271</t>
  </si>
  <si>
    <t>Car_272</t>
  </si>
  <si>
    <t>Car_273</t>
  </si>
  <si>
    <t>Car_274</t>
  </si>
  <si>
    <t>Car_275</t>
  </si>
  <si>
    <t>Car_276</t>
  </si>
  <si>
    <t>Car_277</t>
  </si>
  <si>
    <t>Car_278</t>
  </si>
  <si>
    <t>Car_279</t>
  </si>
  <si>
    <t>Car_280</t>
  </si>
  <si>
    <t>Car_281</t>
  </si>
  <si>
    <t>Car_282</t>
  </si>
  <si>
    <t>Car_283</t>
  </si>
  <si>
    <t>Car_284</t>
  </si>
  <si>
    <t>Car_285</t>
  </si>
  <si>
    <t>Car_286</t>
  </si>
  <si>
    <t>Car_287</t>
  </si>
  <si>
    <t>Car_288</t>
  </si>
  <si>
    <t>Car_289</t>
  </si>
  <si>
    <t>Car_290</t>
  </si>
  <si>
    <t>Car_291</t>
  </si>
  <si>
    <t>Car_292</t>
  </si>
  <si>
    <t>Car_293</t>
  </si>
  <si>
    <t>Car_294</t>
  </si>
  <si>
    <t>Car_295</t>
  </si>
  <si>
    <t>Car_296</t>
  </si>
  <si>
    <t>Car_297</t>
  </si>
  <si>
    <t>Car_298</t>
  </si>
  <si>
    <t>Car_299</t>
  </si>
  <si>
    <t>Car_300</t>
  </si>
  <si>
    <t>Average of Horsepower</t>
  </si>
  <si>
    <t>FUEL_TYPE</t>
  </si>
  <si>
    <t>TOTAL CARS</t>
  </si>
  <si>
    <t>Average of MPG</t>
  </si>
  <si>
    <t>TRANSMISSION</t>
  </si>
  <si>
    <t>TOTAL of Cars</t>
  </si>
  <si>
    <t>Average of Acceleration</t>
  </si>
  <si>
    <t xml:space="preserve"> CAR  BRAND</t>
  </si>
  <si>
    <t>CAR BRAND</t>
  </si>
  <si>
    <t>Average of Engine_Size</t>
  </si>
  <si>
    <t>PERFORMANCE OF CARS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</si>
</sst>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DLaM Display"/>
    </font>
    <font>
      <sz val="18"/>
      <color theme="0"/>
      <name val="Lucida Calligraphy"/>
      <family val="4"/>
    </font>
  </fonts>
  <fills count="5">
    <fill>
      <patternFill patternType="none"/>
    </fill>
    <fill>
      <patternFill patternType="gray125"/>
    </fill>
    <fill>
      <patternFill patternType="solid">
        <fgColor theme="9" tint="0.59999389629810485"/>
        <bgColor indexed="64"/>
      </patternFill>
    </fill>
    <fill>
      <patternFill patternType="solid">
        <fgColor theme="4" tint="-0.249977111117893"/>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xf>
    <xf numFmtId="1" fontId="0" fillId="0" borderId="0" xfId="0" applyNumberFormat="1"/>
    <xf numFmtId="0" fontId="1" fillId="0" borderId="0" xfId="0" applyFont="1"/>
    <xf numFmtId="0" fontId="0" fillId="4" borderId="0" xfId="0" applyFill="1" applyAlignment="1">
      <alignment horizontal="left"/>
    </xf>
    <xf numFmtId="1" fontId="0" fillId="4" borderId="0" xfId="0" applyNumberFormat="1" applyFill="1"/>
    <xf numFmtId="0" fontId="0" fillId="2" borderId="0" xfId="0" applyFill="1"/>
    <xf numFmtId="0" fontId="2" fillId="3" borderId="0" xfId="0" applyFont="1" applyFill="1" applyAlignment="1">
      <alignment horizontal="center"/>
    </xf>
  </cellXfs>
  <cellStyles count="1">
    <cellStyle name="Normal" xfId="0" builtinId="0"/>
  </cellStyles>
  <dxfs count="614">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numFmt numFmtId="1" formatCode="0"/>
    </dxf>
    <dxf>
      <numFmt numFmtId="1" formatCode="0"/>
    </dxf>
    <dxf>
      <numFmt numFmtId="1" formatCode="0"/>
    </dxf>
    <dxf>
      <numFmt numFmtId="1" formatCode="0"/>
    </dxf>
    <dxf>
      <fill>
        <patternFill patternType="solid">
          <bgColor theme="9" tint="0.79998168889431442"/>
        </patternFill>
      </fill>
    </dxf>
    <dxf>
      <fill>
        <patternFill patternType="solid">
          <bgColor theme="9" tint="0.79998168889431442"/>
        </patternFill>
      </fill>
    </dxf>
    <dxf>
      <fill>
        <patternFill>
          <bgColor theme="9" tint="0.59999389629810485"/>
        </patternFill>
      </fill>
    </dxf>
    <dxf>
      <fill>
        <patternFill>
          <bgColor theme="9" tint="0.59999389629810485"/>
        </patternFill>
      </fill>
    </dxf>
    <dxf>
      <numFmt numFmtId="1" formatCode="0"/>
    </dxf>
    <dxf>
      <fill>
        <patternFill patternType="solid">
          <bgColor theme="9" tint="0.59999389629810485"/>
        </patternFill>
      </fill>
    </dxf>
    <dxf>
      <fill>
        <patternFill patternType="solid">
          <bgColor theme="9" tint="0.59999389629810485"/>
        </patternFill>
      </fill>
    </dxf>
    <dxf>
      <numFmt numFmtId="1" formatCode="0"/>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bgColor theme="9" tint="0.59999389629810485"/>
        </patternFill>
      </fill>
    </dxf>
    <dxf>
      <fill>
        <patternFill>
          <bgColor theme="9" tint="0.59999389629810485"/>
        </patternFill>
      </fill>
    </dxf>
    <dxf>
      <fill>
        <patternFill patternType="solid">
          <bgColor theme="9" tint="0.59999389629810485"/>
        </patternFill>
      </fill>
    </dxf>
    <dxf>
      <fill>
        <patternFill patternType="solid">
          <bgColor theme="9" tint="0.59999389629810485"/>
        </patternFill>
      </fill>
    </dxf>
    <dxf>
      <numFmt numFmtId="1" formatCode="0"/>
    </dxf>
    <dxf>
      <fill>
        <patternFill>
          <bgColor theme="9" tint="0.59999389629810485"/>
        </patternFill>
      </fill>
    </dxf>
    <dxf>
      <fill>
        <patternFill>
          <bgColor theme="9" tint="0.59999389629810485"/>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numFmt numFmtId="1" formatCode="0"/>
    </dxf>
    <dxf>
      <numFmt numFmtId="1" formatCode="0"/>
    </dxf>
    <dxf>
      <numFmt numFmtId="1" formatCode="0"/>
    </dxf>
    <dxf>
      <numFmt numFmtId="1" formatCode="0"/>
    </dxf>
    <dxf>
      <fill>
        <patternFill>
          <bgColor theme="9" tint="0.59999389629810485"/>
        </patternFill>
      </fill>
    </dxf>
    <dxf>
      <fill>
        <patternFill>
          <bgColor theme="9" tint="0.59999389629810485"/>
        </patternFill>
      </fill>
    </dxf>
    <dxf>
      <fill>
        <patternFill patternType="solid">
          <bgColor theme="9" tint="0.79998168889431442"/>
        </patternFill>
      </fill>
    </dxf>
    <dxf>
      <fill>
        <patternFill patternType="solid">
          <bgColor theme="9" tint="0.79998168889431442"/>
        </patternFill>
      </fill>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[car_performance_dataset.xlsx]PIVOT TABLE!BRAND  OF CARS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HORSEPOWER OF CAR BRAND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4"/>
                <c:pt idx="0">
                  <c:v>BMW</c:v>
                </c:pt>
                <c:pt idx="1">
                  <c:v>Ford</c:v>
                </c:pt>
                <c:pt idx="2">
                  <c:v>Nissan</c:v>
                </c:pt>
                <c:pt idx="3">
                  <c:v>Toyota</c:v>
                </c:pt>
              </c:strCache>
            </c:strRef>
          </c:cat>
          <c:val>
            <c:numRef>
              <c:f>'PIVOT TABLE'!$B$4:$B$7</c:f>
              <c:numCache>
                <c:formatCode>0</c:formatCode>
                <c:ptCount val="4"/>
                <c:pt idx="0">
                  <c:v>264.85714285714283</c:v>
                </c:pt>
                <c:pt idx="1">
                  <c:v>331</c:v>
                </c:pt>
                <c:pt idx="2">
                  <c:v>316.18181818181819</c:v>
                </c:pt>
                <c:pt idx="3">
                  <c:v>330.53846153846155</c:v>
                </c:pt>
              </c:numCache>
            </c:numRef>
          </c:val>
          <c:extLst>
            <c:ext xmlns:c16="http://schemas.microsoft.com/office/drawing/2014/chart" uri="{C3380CC4-5D6E-409C-BE32-E72D297353CC}">
              <c16:uniqueId val="{00000002-5D1D-450A-AF94-5D7CD7965CBA}"/>
            </c:ext>
          </c:extLst>
        </c:ser>
        <c:dLbls>
          <c:dLblPos val="outEnd"/>
          <c:showLegendKey val="0"/>
          <c:showVal val="1"/>
          <c:showCatName val="0"/>
          <c:showSerName val="0"/>
          <c:showPercent val="0"/>
          <c:showBubbleSize val="0"/>
        </c:dLbls>
        <c:gapWidth val="182"/>
        <c:axId val="1273690224"/>
        <c:axId val="1273697904"/>
      </c:barChart>
      <c:catAx>
        <c:axId val="12736902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697904"/>
        <c:crosses val="autoZero"/>
        <c:auto val="1"/>
        <c:lblAlgn val="ctr"/>
        <c:lblOffset val="100"/>
        <c:noMultiLvlLbl val="0"/>
      </c:catAx>
      <c:valAx>
        <c:axId val="1273697904"/>
        <c:scaling>
          <c:orientation val="minMax"/>
        </c:scaling>
        <c:delete val="1"/>
        <c:axPos val="b"/>
        <c:numFmt formatCode="0" sourceLinked="1"/>
        <c:majorTickMark val="none"/>
        <c:minorTickMark val="none"/>
        <c:tickLblPos val="nextTo"/>
        <c:crossAx val="12736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[car_performance_dataset.xlsx]PIVOT TABLE!FUEL TYPE OF CARS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CARS BY FUELS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s>
    <c:plotArea>
      <c:layout/>
      <c:pieChart>
        <c:varyColors val="1"/>
        <c:ser>
          <c:idx val="0"/>
          <c:order val="0"/>
          <c:tx>
            <c:strRef>
              <c:f>'PIVOT TABLE'!$E$3</c:f>
              <c:strCache>
                <c:ptCount val="1"/>
                <c:pt idx="0">
                  <c:v>Total</c:v>
                </c:pt>
              </c:strCache>
            </c:strRef>
          </c:tx>
          <c:dPt>
            <c:idx val="0"/>
            <c:bubble3D val="0"/>
            <c:spPr>
              <a:solidFill>
                <a:schemeClr val="accent6"/>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TABLE'!$D$4</c:f>
              <c:strCache>
                <c:ptCount val="1"/>
                <c:pt idx="0">
                  <c:v>Petrol</c:v>
                </c:pt>
              </c:strCache>
            </c:strRef>
          </c:cat>
          <c:val>
            <c:numRef>
              <c:f>'PIVOT TABLE'!$E$4</c:f>
              <c:numCache>
                <c:formatCode>0</c:formatCode>
                <c:ptCount val="1"/>
                <c:pt idx="0">
                  <c:v>54</c:v>
                </c:pt>
              </c:numCache>
            </c:numRef>
          </c:val>
          <c:extLst>
            <c:ext xmlns:c16="http://schemas.microsoft.com/office/drawing/2014/chart" uri="{C3380CC4-5D6E-409C-BE32-E72D297353CC}">
              <c16:uniqueId val="{00000008-7D11-4923-89EE-8F94AF0E9B42}"/>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[car_performance_dataset.xlsx]PIVOT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TRANSMISSION OF CARS</a:t>
            </a:r>
          </a:p>
        </c:rich>
      </c:tx>
      <c:layout>
        <c:manualLayout>
          <c:xMode val="edge"/>
          <c:yMode val="edge"/>
          <c:x val="0.29772900262467189"/>
          <c:y val="5.9164479440069993E-2"/>
        </c:manualLayout>
      </c:layout>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
        <c:spPr>
          <a:solidFill>
            <a:schemeClr val="accent1">
              <a:shade val="65000"/>
            </a:schemeClr>
          </a:solidFill>
          <a:ln w="19050">
            <a:solidFill>
              <a:schemeClr val="lt1"/>
            </a:solidFill>
          </a:ln>
          <a:effectLst/>
        </c:spPr>
      </c:pivotFmt>
      <c:pivotFmt>
        <c:idx val="2"/>
        <c:spPr>
          <a:solidFill>
            <a:schemeClr val="accent1">
              <a:tint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5"/>
        <c:spPr>
          <a:solidFill>
            <a:schemeClr val="accent1">
              <a:shade val="65000"/>
            </a:schemeClr>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tint val="65000"/>
            </a:schemeClr>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9"/>
        <c:spPr>
          <a:solidFill>
            <a:schemeClr val="accent1">
              <a:shade val="65000"/>
            </a:schemeClr>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tint val="65000"/>
            </a:schemeClr>
          </a:solidFill>
          <a:ln w="19050">
            <a:solidFill>
              <a:schemeClr val="lt1"/>
            </a:solidFill>
          </a:ln>
          <a:effectLst/>
        </c:spPr>
      </c:pivotFmt>
      <c:pivotFmt>
        <c:idx val="12"/>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c15:spPr>
            </c:ext>
          </c:extLst>
        </c:dLbl>
      </c:pivotFmt>
      <c:pivotFmt>
        <c:idx val="13"/>
        <c:spPr>
          <a:solidFill>
            <a:schemeClr val="accent1">
              <a:shade val="65000"/>
            </a:schemeClr>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tint val="65000"/>
            </a:schemeClr>
          </a:solidFill>
          <a:ln w="19050">
            <a:solidFill>
              <a:schemeClr val="lt1"/>
            </a:solidFill>
          </a:ln>
          <a:effectLst/>
        </c:spPr>
      </c:pivotFmt>
    </c:pivotFmts>
    <c:plotArea>
      <c:layout>
        <c:manualLayout>
          <c:layoutTarget val="inner"/>
          <c:xMode val="edge"/>
          <c:yMode val="edge"/>
          <c:x val="0.32364636413011927"/>
          <c:y val="0.25284399813171415"/>
          <c:w val="0.35240048118985129"/>
          <c:h val="0.58733413531641876"/>
        </c:manualLayout>
      </c:layout>
      <c:doughnutChart>
        <c:varyColors val="1"/>
        <c:ser>
          <c:idx val="0"/>
          <c:order val="0"/>
          <c:tx>
            <c:strRef>
              <c:f>'PIVOT TABLE'!$H$3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E-BCC0-4B88-A9C2-3B88EF27408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10-BCC0-4B88-A9C2-3B88EF27408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12-BCC0-4B88-A9C2-3B88EF27408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c15:spPr>
              </c:ext>
            </c:extLst>
          </c:dLbls>
          <c:cat>
            <c:strRef>
              <c:f>'PIVOT TABLE'!$G$4:$G$6</c:f>
              <c:strCache>
                <c:ptCount val="3"/>
                <c:pt idx="0">
                  <c:v>Automatic</c:v>
                </c:pt>
                <c:pt idx="1">
                  <c:v>CVT</c:v>
                </c:pt>
                <c:pt idx="2">
                  <c:v>Manual</c:v>
                </c:pt>
              </c:strCache>
            </c:strRef>
          </c:cat>
          <c:val>
            <c:numRef>
              <c:f>'PIVOT TABLE'!$H$4:$H$6</c:f>
              <c:numCache>
                <c:formatCode>0</c:formatCode>
                <c:ptCount val="3"/>
                <c:pt idx="0">
                  <c:v>16</c:v>
                </c:pt>
                <c:pt idx="1">
                  <c:v>21</c:v>
                </c:pt>
                <c:pt idx="2">
                  <c:v>17</c:v>
                </c:pt>
              </c:numCache>
            </c:numRef>
          </c:val>
          <c:extLst>
            <c:ext xmlns:c16="http://schemas.microsoft.com/office/drawing/2014/chart" uri="{C3380CC4-5D6E-409C-BE32-E72D297353CC}">
              <c16:uniqueId val="{00000013-BCC0-4B88-A9C2-3B88EF27408D}"/>
            </c:ext>
          </c:extLst>
        </c:ser>
        <c:dLbls>
          <c:showLegendKey val="0"/>
          <c:showVal val="0"/>
          <c:showCatName val="0"/>
          <c:showSerName val="0"/>
          <c:showPercent val="0"/>
          <c:showBubbleSize val="0"/>
          <c:showLeaderLines val="0"/>
        </c:dLbls>
        <c:firstSliceAng val="0"/>
        <c:holeSize val="75"/>
      </c:doughnutChart>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[car_performance_dataset.xlsx]PIVOT TABLE!PivotTable5</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MPG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TABLE'!$E$9</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TABLE'!$D$10:$D$13</c:f>
              <c:strCache>
                <c:ptCount val="4"/>
                <c:pt idx="0">
                  <c:v>BMW</c:v>
                </c:pt>
                <c:pt idx="1">
                  <c:v>Ford</c:v>
                </c:pt>
                <c:pt idx="2">
                  <c:v>Nissan</c:v>
                </c:pt>
                <c:pt idx="3">
                  <c:v>Toyota</c:v>
                </c:pt>
              </c:strCache>
            </c:strRef>
          </c:cat>
          <c:val>
            <c:numRef>
              <c:f>'PIVOT TABLE'!$E$10:$E$13</c:f>
              <c:numCache>
                <c:formatCode>0</c:formatCode>
                <c:ptCount val="4"/>
                <c:pt idx="0">
                  <c:v>73.071428571428569</c:v>
                </c:pt>
                <c:pt idx="1">
                  <c:v>58.8125</c:v>
                </c:pt>
                <c:pt idx="2">
                  <c:v>69.454545454545453</c:v>
                </c:pt>
                <c:pt idx="3">
                  <c:v>60.230769230769234</c:v>
                </c:pt>
              </c:numCache>
            </c:numRef>
          </c:val>
          <c:extLst>
            <c:ext xmlns:c16="http://schemas.microsoft.com/office/drawing/2014/chart" uri="{C3380CC4-5D6E-409C-BE32-E72D297353CC}">
              <c16:uniqueId val="{00000002-E5FF-4416-8DBB-B9443C83AD43}"/>
            </c:ext>
          </c:extLst>
        </c:ser>
        <c:dLbls>
          <c:dLblPos val="outEnd"/>
          <c:showLegendKey val="0"/>
          <c:showVal val="1"/>
          <c:showCatName val="0"/>
          <c:showSerName val="0"/>
          <c:showPercent val="0"/>
          <c:showBubbleSize val="0"/>
        </c:dLbls>
        <c:gapWidth val="219"/>
        <c:overlap val="-27"/>
        <c:axId val="1284762399"/>
        <c:axId val="1284759039"/>
      </c:barChart>
      <c:catAx>
        <c:axId val="128476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4759039"/>
        <c:crosses val="autoZero"/>
        <c:auto val="1"/>
        <c:lblAlgn val="ctr"/>
        <c:lblOffset val="100"/>
        <c:noMultiLvlLbl val="0"/>
      </c:catAx>
      <c:valAx>
        <c:axId val="1284759039"/>
        <c:scaling>
          <c:orientation val="minMax"/>
        </c:scaling>
        <c:delete val="1"/>
        <c:axPos val="l"/>
        <c:numFmt formatCode="0" sourceLinked="1"/>
        <c:majorTickMark val="none"/>
        <c:minorTickMark val="none"/>
        <c:tickLblPos val="nextTo"/>
        <c:crossAx val="128476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[car_performance_dataset.xlsx]PIVOT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ENGINE SIZE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dLbl>
          <c:idx val="0"/>
          <c:layout>
            <c:manualLayout>
              <c:x val="0.3144590988626420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dLbl>
          <c:idx val="0"/>
          <c:layout>
            <c:manualLayout>
              <c:x val="0.32213167104111984"/>
              <c:y val="-4.2437781360066642E-1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7.3777777777777775E-2"/>
                  <c:h val="5.0856663750364538E-2"/>
                </c:manualLayout>
              </c15:layout>
            </c:ext>
          </c:extLst>
        </c:dLbl>
      </c:pivotFmt>
      <c:pivotFmt>
        <c:idx val="3"/>
        <c:spPr>
          <a:solidFill>
            <a:schemeClr val="accent3"/>
          </a:solidFill>
          <a:ln>
            <a:noFill/>
          </a:ln>
          <a:effectLst/>
        </c:spPr>
        <c:dLbl>
          <c:idx val="0"/>
          <c:layout>
            <c:manualLayout>
              <c:x val="0.3745188101487314"/>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a:noFill/>
          </a:ln>
          <a:effectLst/>
        </c:spPr>
        <c:dLbl>
          <c:idx val="0"/>
          <c:layout>
            <c:manualLayout>
              <c:x val="0.23321751968503926"/>
              <c:y val="6.944808982210557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2377777777777775"/>
                  <c:h val="6.9375182268883062E-2"/>
                </c:manualLayout>
              </c15:layout>
            </c:ext>
          </c:extLst>
        </c:dLbl>
      </c:pivotFmt>
      <c:pivotFmt>
        <c:idx val="5"/>
        <c:spPr>
          <a:solidFill>
            <a:schemeClr val="accent3"/>
          </a:solidFill>
          <a:ln>
            <a:noFill/>
          </a:ln>
          <a:effectLst/>
        </c:spPr>
        <c:dLbl>
          <c:idx val="0"/>
          <c:layout>
            <c:manualLayout>
              <c:x val="0.25630183727034112"/>
              <c:y val="2.777777777777769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3"/>
          </a:solidFill>
          <a:ln>
            <a:noFill/>
          </a:ln>
          <a:effectLst/>
        </c:spPr>
        <c:dLbl>
          <c:idx val="0"/>
          <c:layout>
            <c:manualLayout>
              <c:x val="0.29901159230096236"/>
              <c:y val="-9.259259259259173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dLbl>
          <c:idx val="0"/>
          <c:layout>
            <c:manualLayout>
              <c:x val="0.16717235345581802"/>
              <c:y val="1.38888888888887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manualLayout>
                  <c:w val="0.10433333333333335"/>
                  <c:h val="5.5486293379994167E-2"/>
                </c:manualLayout>
              </c15:layout>
            </c:ext>
          </c:extLst>
        </c:dLbl>
      </c:pivotFmt>
    </c:pivotFmts>
    <c:plotArea>
      <c:layout>
        <c:manualLayout>
          <c:layoutTarget val="inner"/>
          <c:xMode val="edge"/>
          <c:yMode val="edge"/>
          <c:x val="0.14083361357450638"/>
          <c:y val="0.22166565237721944"/>
          <c:w val="0.85798797025371831"/>
          <c:h val="0.77736111111111106"/>
        </c:manualLayout>
      </c:layout>
      <c:barChart>
        <c:barDir val="bar"/>
        <c:grouping val="stacked"/>
        <c:varyColors val="0"/>
        <c:ser>
          <c:idx val="0"/>
          <c:order val="0"/>
          <c:tx>
            <c:strRef>
              <c:f>'PIVOT TABLE'!$H$9</c:f>
              <c:strCache>
                <c:ptCount val="1"/>
                <c:pt idx="0">
                  <c:v>Total</c:v>
                </c:pt>
              </c:strCache>
            </c:strRef>
          </c:tx>
          <c:spPr>
            <a:solidFill>
              <a:schemeClr val="accent3"/>
            </a:solidFill>
            <a:ln>
              <a:noFill/>
            </a:ln>
            <a:effectLst/>
          </c:spPr>
          <c:invertIfNegative val="0"/>
          <c:dPt>
            <c:idx val="0"/>
            <c:invertIfNegative val="0"/>
            <c:bubble3D val="0"/>
            <c:spPr>
              <a:solidFill>
                <a:schemeClr val="accent3"/>
              </a:solidFill>
              <a:ln>
                <a:noFill/>
              </a:ln>
              <a:effectLst/>
            </c:spPr>
          </c:dPt>
          <c:dPt>
            <c:idx val="1"/>
            <c:invertIfNegative val="0"/>
            <c:bubble3D val="0"/>
            <c:spPr>
              <a:solidFill>
                <a:schemeClr val="accent3"/>
              </a:solidFill>
              <a:ln>
                <a:noFill/>
              </a:ln>
              <a:effectLst/>
            </c:spPr>
          </c:dPt>
          <c:dPt>
            <c:idx val="2"/>
            <c:invertIfNegative val="0"/>
            <c:bubble3D val="0"/>
            <c:spPr>
              <a:solidFill>
                <a:schemeClr val="accent3"/>
              </a:solidFill>
              <a:ln>
                <a:noFill/>
              </a:ln>
              <a:effectLst/>
            </c:spPr>
          </c:dPt>
          <c:dPt>
            <c:idx val="3"/>
            <c:invertIfNegative val="0"/>
            <c:bubble3D val="0"/>
            <c:spPr>
              <a:solidFill>
                <a:schemeClr val="accent3"/>
              </a:solidFill>
              <a:ln>
                <a:noFill/>
              </a:ln>
              <a:effectLst/>
            </c:spPr>
          </c:dPt>
          <c:dLbls>
            <c:dLbl>
              <c:idx val="0"/>
              <c:layout>
                <c:manualLayout>
                  <c:x val="0.29901159230096236"/>
                  <c:y val="-9.2592592592591737E-3"/>
                </c:manualLayout>
              </c:layout>
              <c:dLblPos val="ctr"/>
              <c:showLegendKey val="0"/>
              <c:showVal val="1"/>
              <c:showCatName val="0"/>
              <c:showSerName val="0"/>
              <c:showPercent val="0"/>
              <c:showBubbleSize val="0"/>
              <c:extLst>
                <c:ext xmlns:c15="http://schemas.microsoft.com/office/drawing/2012/chart" uri="{CE6537A1-D6FC-4f65-9D91-7224C49458BB}"/>
              </c:extLst>
            </c:dLbl>
            <c:dLbl>
              <c:idx val="1"/>
              <c:layout>
                <c:manualLayout>
                  <c:x val="0.25630183727034112"/>
                  <c:y val="2.7777777777777693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2"/>
              <c:layout>
                <c:manualLayout>
                  <c:x val="0.3745188101487314"/>
                  <c:y val="1.8518518518518517E-2"/>
                </c:manualLayout>
              </c:layout>
              <c:dLblPos val="ctr"/>
              <c:showLegendKey val="0"/>
              <c:showVal val="1"/>
              <c:showCatName val="0"/>
              <c:showSerName val="0"/>
              <c:showPercent val="0"/>
              <c:showBubbleSize val="0"/>
              <c:extLst>
                <c:ext xmlns:c15="http://schemas.microsoft.com/office/drawing/2012/chart" uri="{CE6537A1-D6FC-4f65-9D91-7224C49458BB}"/>
              </c:extLst>
            </c:dLbl>
            <c:dLbl>
              <c:idx val="3"/>
              <c:layout>
                <c:manualLayout>
                  <c:x val="0.3144590988626420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TABLE'!$G$10:$G$13</c:f>
              <c:strCache>
                <c:ptCount val="4"/>
                <c:pt idx="0">
                  <c:v>BMW</c:v>
                </c:pt>
                <c:pt idx="1">
                  <c:v>Ford</c:v>
                </c:pt>
                <c:pt idx="2">
                  <c:v>Nissan</c:v>
                </c:pt>
                <c:pt idx="3">
                  <c:v>Toyota</c:v>
                </c:pt>
              </c:strCache>
            </c:strRef>
          </c:cat>
          <c:val>
            <c:numRef>
              <c:f>'PIVOT TABLE'!$H$10:$H$13</c:f>
              <c:numCache>
                <c:formatCode>0</c:formatCode>
                <c:ptCount val="4"/>
                <c:pt idx="0">
                  <c:v>3.3857142857142861</c:v>
                </c:pt>
                <c:pt idx="1">
                  <c:v>3.3249999999999997</c:v>
                </c:pt>
                <c:pt idx="2">
                  <c:v>3.1181818181818186</c:v>
                </c:pt>
                <c:pt idx="3">
                  <c:v>2.9846153846153842</c:v>
                </c:pt>
              </c:numCache>
            </c:numRef>
          </c:val>
          <c:extLst>
            <c:ext xmlns:c16="http://schemas.microsoft.com/office/drawing/2014/chart" uri="{C3380CC4-5D6E-409C-BE32-E72D297353CC}">
              <c16:uniqueId val="{00000002-F589-4EDE-AB1E-7D0941E346CE}"/>
            </c:ext>
          </c:extLst>
        </c:ser>
        <c:dLbls>
          <c:dLblPos val="inEnd"/>
          <c:showLegendKey val="0"/>
          <c:showVal val="1"/>
          <c:showCatName val="0"/>
          <c:showSerName val="0"/>
          <c:showPercent val="0"/>
          <c:showBubbleSize val="0"/>
        </c:dLbls>
        <c:gapWidth val="150"/>
        <c:overlap val="100"/>
        <c:axId val="1098633743"/>
        <c:axId val="1098637583"/>
      </c:barChart>
      <c:catAx>
        <c:axId val="10986337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637583"/>
        <c:crosses val="autoZero"/>
        <c:auto val="1"/>
        <c:lblAlgn val="ctr"/>
        <c:lblOffset val="100"/>
        <c:noMultiLvlLbl val="0"/>
      </c:catAx>
      <c:valAx>
        <c:axId val="1098637583"/>
        <c:scaling>
          <c:orientation val="minMax"/>
        </c:scaling>
        <c:delete val="1"/>
        <c:axPos val="b"/>
        <c:numFmt formatCode="0" sourceLinked="1"/>
        <c:majorTickMark val="out"/>
        <c:minorTickMark val="none"/>
        <c:tickLblPos val="nextTo"/>
        <c:crossAx val="109863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[car_performance_dataset.xlsx]PIVOT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ACCELERATION OF CAR BRAND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TABLE'!$J$4:$J$7</c:f>
              <c:strCache>
                <c:ptCount val="4"/>
                <c:pt idx="0">
                  <c:v>BMW</c:v>
                </c:pt>
                <c:pt idx="1">
                  <c:v>Ford</c:v>
                </c:pt>
                <c:pt idx="2">
                  <c:v>Nissan</c:v>
                </c:pt>
                <c:pt idx="3">
                  <c:v>Toyota</c:v>
                </c:pt>
              </c:strCache>
            </c:strRef>
          </c:cat>
          <c:val>
            <c:numRef>
              <c:f>'PIVOT TABLE'!$K$4:$K$7</c:f>
              <c:numCache>
                <c:formatCode>0</c:formatCode>
                <c:ptCount val="4"/>
                <c:pt idx="0">
                  <c:v>6.5928571428571434</c:v>
                </c:pt>
                <c:pt idx="1">
                  <c:v>6.8624999999999998</c:v>
                </c:pt>
                <c:pt idx="2">
                  <c:v>5.709090909090909</c:v>
                </c:pt>
                <c:pt idx="3">
                  <c:v>6.8076923076923075</c:v>
                </c:pt>
              </c:numCache>
            </c:numRef>
          </c:val>
          <c:smooth val="0"/>
          <c:extLst>
            <c:ext xmlns:c16="http://schemas.microsoft.com/office/drawing/2014/chart" uri="{C3380CC4-5D6E-409C-BE32-E72D297353CC}">
              <c16:uniqueId val="{00000002-A1F7-4057-A4C8-D156107249FA}"/>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smooth val="0"/>
        <c:axId val="1432741743"/>
        <c:axId val="1432746063"/>
      </c:lineChart>
      <c:catAx>
        <c:axId val="14327417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2746063"/>
        <c:crosses val="autoZero"/>
        <c:auto val="1"/>
        <c:lblAlgn val="ctr"/>
        <c:lblOffset val="100"/>
        <c:noMultiLvlLbl val="0"/>
      </c:catAx>
      <c:valAx>
        <c:axId val="1432746063"/>
        <c:scaling>
          <c:orientation val="minMax"/>
        </c:scaling>
        <c:delete val="1"/>
        <c:axPos val="l"/>
        <c:numFmt formatCode="0" sourceLinked="1"/>
        <c:majorTickMark val="out"/>
        <c:minorTickMark val="none"/>
        <c:tickLblPos val="nextTo"/>
        <c:crossAx val="143274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[car_performance_dataset.xlsx]PIVOT TABLE!BRAND  OF CARS </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HORSEPOWER OF CAR BRAND </a:t>
            </a: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TABLE'!$A$4:$A$7</c:f>
              <c:strCache>
                <c:ptCount val="4"/>
                <c:pt idx="0">
                  <c:v>BMW</c:v>
                </c:pt>
                <c:pt idx="1">
                  <c:v>Ford</c:v>
                </c:pt>
                <c:pt idx="2">
                  <c:v>Nissan</c:v>
                </c:pt>
                <c:pt idx="3">
                  <c:v>Toyota</c:v>
                </c:pt>
              </c:strCache>
            </c:strRef>
          </c:cat>
          <c:val>
            <c:numRef>
              <c:f>'PIVOT TABLE'!$B$4:$B$7</c:f>
              <c:numCache>
                <c:formatCode>0</c:formatCode>
                <c:ptCount val="4"/>
                <c:pt idx="0">
                  <c:v>264.85714285714283</c:v>
                </c:pt>
                <c:pt idx="1">
                  <c:v>331</c:v>
                </c:pt>
                <c:pt idx="2">
                  <c:v>316.18181818181819</c:v>
                </c:pt>
                <c:pt idx="3">
                  <c:v>330.53846153846155</c:v>
                </c:pt>
              </c:numCache>
            </c:numRef>
          </c:val>
          <c:extLst>
            <c:ext xmlns:c16="http://schemas.microsoft.com/office/drawing/2014/chart" uri="{C3380CC4-5D6E-409C-BE32-E72D297353CC}">
              <c16:uniqueId val="{00000003-C1AA-4D4F-AEDA-60939C448E19}"/>
            </c:ext>
          </c:extLst>
        </c:ser>
        <c:dLbls>
          <c:dLblPos val="outEnd"/>
          <c:showLegendKey val="0"/>
          <c:showVal val="1"/>
          <c:showCatName val="0"/>
          <c:showSerName val="0"/>
          <c:showPercent val="0"/>
          <c:showBubbleSize val="0"/>
        </c:dLbls>
        <c:gapWidth val="115"/>
        <c:overlap val="-20"/>
        <c:axId val="1273690224"/>
        <c:axId val="1273697904"/>
      </c:barChart>
      <c:catAx>
        <c:axId val="127369022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697904"/>
        <c:crosses val="autoZero"/>
        <c:auto val="1"/>
        <c:lblAlgn val="ctr"/>
        <c:lblOffset val="100"/>
        <c:noMultiLvlLbl val="0"/>
      </c:catAx>
      <c:valAx>
        <c:axId val="12736979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3690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[car_performance_dataset.xlsx]PIVOT TABLE!FUEL TYPE OF CARS</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CARS BY FUELS TYPE</a:t>
            </a:r>
          </a:p>
        </c:rich>
      </c:tx>
      <c:layout>
        <c:manualLayout>
          <c:xMode val="edge"/>
          <c:yMode val="edge"/>
          <c:x val="0.16672374363064985"/>
          <c:y val="3.9393953493421674E-2"/>
        </c:manualLayout>
      </c:layout>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s>
    <c:plotArea>
      <c:layout/>
      <c:pieChart>
        <c:varyColors val="1"/>
        <c:ser>
          <c:idx val="0"/>
          <c:order val="0"/>
          <c:tx>
            <c:strRef>
              <c:f>'PIVOT TABLE'!$E$3</c:f>
              <c:strCache>
                <c:ptCount val="1"/>
                <c:pt idx="0">
                  <c:v>Total</c:v>
                </c:pt>
              </c:strCache>
            </c:strRef>
          </c:tx>
          <c:dPt>
            <c:idx val="0"/>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TABLE'!$D$4</c:f>
              <c:strCache>
                <c:ptCount val="1"/>
                <c:pt idx="0">
                  <c:v>Petrol</c:v>
                </c:pt>
              </c:strCache>
            </c:strRef>
          </c:cat>
          <c:val>
            <c:numRef>
              <c:f>'PIVOT TABLE'!$E$4</c:f>
              <c:numCache>
                <c:formatCode>0</c:formatCode>
                <c:ptCount val="1"/>
                <c:pt idx="0">
                  <c:v>54</c:v>
                </c:pt>
              </c:numCache>
            </c:numRef>
          </c:val>
          <c:extLst>
            <c:ext xmlns:c16="http://schemas.microsoft.com/office/drawing/2014/chart" uri="{C3380CC4-5D6E-409C-BE32-E72D297353CC}">
              <c16:uniqueId val="{00000009-84EB-4DCB-ADD1-1B60824C569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[car_performance_dataset.xlsx]PIVOT TABLE!PivotTable3</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TRANSMISSION OF CARS</a:t>
            </a:r>
          </a:p>
        </c:rich>
      </c:tx>
      <c:layout>
        <c:manualLayout>
          <c:xMode val="edge"/>
          <c:yMode val="edge"/>
          <c:x val="0.14269104938271604"/>
          <c:y val="5.1950124971597358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dLbl>
          <c:idx val="0"/>
          <c:showLegendKey val="0"/>
          <c:showVal val="0"/>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pivotFmt>
      <c:pivotFmt>
        <c:idx val="12"/>
        <c:dLbl>
          <c:idx val="0"/>
          <c:showLegendKey val="0"/>
          <c:showVal val="0"/>
          <c:showCatName val="1"/>
          <c:showSerName val="0"/>
          <c:showPercent val="1"/>
          <c:showBubbleSize val="0"/>
          <c:extLst>
            <c:ext xmlns:c15="http://schemas.microsoft.com/office/drawing/2012/chart" uri="{CE6537A1-D6FC-4f65-9D91-7224C49458BB}"/>
          </c:extLst>
        </c:dLbl>
      </c:pivotFmt>
      <c:pivotFmt>
        <c:idx val="13"/>
      </c:pivotFmt>
      <c:pivotFmt>
        <c:idx val="14"/>
      </c:pivotFmt>
      <c:pivotFmt>
        <c:idx val="15"/>
      </c:pivotFmt>
      <c:pivotFmt>
        <c:idx val="16"/>
        <c:dLbl>
          <c:idx val="0"/>
          <c:showLegendKey val="0"/>
          <c:showVal val="0"/>
          <c:showCatName val="1"/>
          <c:showSerName val="0"/>
          <c:showPercent val="1"/>
          <c:showBubbleSize val="0"/>
          <c:extLst>
            <c:ext xmlns:c15="http://schemas.microsoft.com/office/drawing/2012/chart" uri="{CE6537A1-D6FC-4f65-9D91-7224C49458BB}"/>
          </c:extLst>
        </c:dLbl>
      </c:pivotFmt>
      <c:pivotFmt>
        <c:idx val="17"/>
      </c:pivotFmt>
      <c:pivotFmt>
        <c:idx val="18"/>
      </c:pivotFmt>
      <c:pivotFmt>
        <c:idx val="19"/>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30397716049382711"/>
          <c:y val="0.23841570097705067"/>
          <c:w val="0.35240048118985129"/>
          <c:h val="0.58733413531641876"/>
        </c:manualLayout>
      </c:layout>
      <c:doughnutChart>
        <c:varyColors val="1"/>
        <c:ser>
          <c:idx val="0"/>
          <c:order val="0"/>
          <c:tx>
            <c:strRef>
              <c:f>'PIVOT TABLE'!$H$3</c:f>
              <c:strCache>
                <c:ptCount val="1"/>
                <c:pt idx="0">
                  <c:v>Total</c:v>
                </c:pt>
              </c:strCache>
            </c:strRef>
          </c:tx>
          <c:dPt>
            <c:idx val="0"/>
            <c:bubble3D val="0"/>
            <c:spPr>
              <a:gradFill rotWithShape="1">
                <a:gsLst>
                  <a:gs pos="0">
                    <a:schemeClr val="accent1">
                      <a:shade val="65000"/>
                      <a:shade val="51000"/>
                      <a:satMod val="130000"/>
                    </a:schemeClr>
                  </a:gs>
                  <a:gs pos="80000">
                    <a:schemeClr val="accent1">
                      <a:shade val="65000"/>
                      <a:shade val="93000"/>
                      <a:satMod val="130000"/>
                    </a:schemeClr>
                  </a:gs>
                  <a:gs pos="100000">
                    <a:schemeClr val="accent1">
                      <a:shade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6AB6-41B7-AE75-F28E2ACCCC91}"/>
              </c:ext>
            </c:extLst>
          </c:dPt>
          <c:dPt>
            <c:idx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6AB6-41B7-AE75-F28E2ACCCC91}"/>
              </c:ext>
            </c:extLst>
          </c:dPt>
          <c:dPt>
            <c:idx val="2"/>
            <c:bubble3D val="0"/>
            <c:spPr>
              <a:gradFill rotWithShape="1">
                <a:gsLst>
                  <a:gs pos="0">
                    <a:schemeClr val="accent1">
                      <a:tint val="65000"/>
                      <a:shade val="51000"/>
                      <a:satMod val="130000"/>
                    </a:schemeClr>
                  </a:gs>
                  <a:gs pos="80000">
                    <a:schemeClr val="accent1">
                      <a:tint val="65000"/>
                      <a:shade val="93000"/>
                      <a:satMod val="130000"/>
                    </a:schemeClr>
                  </a:gs>
                  <a:gs pos="100000">
                    <a:schemeClr val="accent1">
                      <a:tint val="65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6AB6-41B7-AE75-F28E2ACCCC91}"/>
              </c:ext>
            </c:extLst>
          </c:dPt>
          <c:dLbls>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TABLE'!$G$4:$G$6</c:f>
              <c:strCache>
                <c:ptCount val="3"/>
                <c:pt idx="0">
                  <c:v>Automatic</c:v>
                </c:pt>
                <c:pt idx="1">
                  <c:v>CVT</c:v>
                </c:pt>
                <c:pt idx="2">
                  <c:v>Manual</c:v>
                </c:pt>
              </c:strCache>
            </c:strRef>
          </c:cat>
          <c:val>
            <c:numRef>
              <c:f>'PIVOT TABLE'!$H$4:$H$6</c:f>
              <c:numCache>
                <c:formatCode>0</c:formatCode>
                <c:ptCount val="3"/>
                <c:pt idx="0">
                  <c:v>16</c:v>
                </c:pt>
                <c:pt idx="1">
                  <c:v>21</c:v>
                </c:pt>
                <c:pt idx="2">
                  <c:v>17</c:v>
                </c:pt>
              </c:numCache>
            </c:numRef>
          </c:val>
          <c:extLst>
            <c:ext xmlns:c16="http://schemas.microsoft.com/office/drawing/2014/chart" uri="{C3380CC4-5D6E-409C-BE32-E72D297353CC}">
              <c16:uniqueId val="{00000006-6AB6-41B7-AE75-F28E2ACCCC91}"/>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[car_performance_dataset.xlsx]PIVOT TABLE!PivotTable5</c:name>
    <c:fmtId val="2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MPG</a:t>
            </a:r>
          </a:p>
        </c:rich>
      </c:tx>
      <c:overlay val="0"/>
      <c:spPr>
        <a:noFill/>
        <a:ln>
          <a:noFill/>
        </a:ln>
        <a:effectLst>
          <a:outerShdw blurRad="50800" dist="38100" dir="2700000" algn="tl" rotWithShape="0">
            <a:prstClr val="black">
              <a:alpha val="40000"/>
            </a:prstClr>
          </a:outerShdw>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TABLE'!$E$9</c:f>
              <c:strCache>
                <c:ptCount val="1"/>
                <c:pt idx="0">
                  <c:v>Total</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TABLE'!$D$10:$D$13</c:f>
              <c:strCache>
                <c:ptCount val="4"/>
                <c:pt idx="0">
                  <c:v>BMW</c:v>
                </c:pt>
                <c:pt idx="1">
                  <c:v>Ford</c:v>
                </c:pt>
                <c:pt idx="2">
                  <c:v>Nissan</c:v>
                </c:pt>
                <c:pt idx="3">
                  <c:v>Toyota</c:v>
                </c:pt>
              </c:strCache>
            </c:strRef>
          </c:cat>
          <c:val>
            <c:numRef>
              <c:f>'PIVOT TABLE'!$E$10:$E$13</c:f>
              <c:numCache>
                <c:formatCode>0</c:formatCode>
                <c:ptCount val="4"/>
                <c:pt idx="0">
                  <c:v>73.071428571428569</c:v>
                </c:pt>
                <c:pt idx="1">
                  <c:v>58.8125</c:v>
                </c:pt>
                <c:pt idx="2">
                  <c:v>69.454545454545453</c:v>
                </c:pt>
                <c:pt idx="3">
                  <c:v>60.230769230769234</c:v>
                </c:pt>
              </c:numCache>
            </c:numRef>
          </c:val>
          <c:extLst>
            <c:ext xmlns:c16="http://schemas.microsoft.com/office/drawing/2014/chart" uri="{C3380CC4-5D6E-409C-BE32-E72D297353CC}">
              <c16:uniqueId val="{00000000-54E8-458A-BE5B-7971D31BCC6C}"/>
            </c:ext>
          </c:extLst>
        </c:ser>
        <c:dLbls>
          <c:dLblPos val="outEnd"/>
          <c:showLegendKey val="0"/>
          <c:showVal val="1"/>
          <c:showCatName val="0"/>
          <c:showSerName val="0"/>
          <c:showPercent val="0"/>
          <c:showBubbleSize val="0"/>
        </c:dLbls>
        <c:gapWidth val="100"/>
        <c:overlap val="-24"/>
        <c:axId val="1284762399"/>
        <c:axId val="1284759039"/>
      </c:barChart>
      <c:catAx>
        <c:axId val="12847623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759039"/>
        <c:crosses val="autoZero"/>
        <c:auto val="1"/>
        <c:lblAlgn val="ctr"/>
        <c:lblOffset val="100"/>
        <c:noMultiLvlLbl val="0"/>
      </c:catAx>
      <c:valAx>
        <c:axId val="1284759039"/>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84762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[car_performance_dataset.xlsx]PIVOT TABLE!PivotTable6</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ENGINE SIZE</a:t>
            </a:r>
          </a:p>
        </c:rich>
      </c:tx>
      <c:layout>
        <c:manualLayout>
          <c:xMode val="edge"/>
          <c:yMode val="edge"/>
          <c:x val="0.1118327160493827"/>
          <c:y val="5.8902411539328361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0.3144590988626420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32213167104111984"/>
              <c:y val="-4.2437781360066642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7.3777777777777775E-2"/>
                  <c:h val="5.0856663750364538E-2"/>
                </c:manualLayout>
              </c15:layout>
            </c:ext>
          </c:extLst>
        </c:dLbl>
      </c:pivotFmt>
      <c:pivotFmt>
        <c:idx val="3"/>
        <c:dLbl>
          <c:idx val="0"/>
          <c:layout>
            <c:manualLayout>
              <c:x val="0.3745188101487314"/>
              <c:y val="1.851851851851851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23321751968503926"/>
              <c:y val="6.944808982210557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2377777777777775"/>
                  <c:h val="6.9375182268883062E-2"/>
                </c:manualLayout>
              </c15:layout>
            </c:ext>
          </c:extLst>
        </c:dLbl>
      </c:pivotFmt>
      <c:pivotFmt>
        <c:idx val="5"/>
        <c:dLbl>
          <c:idx val="0"/>
          <c:layout>
            <c:manualLayout>
              <c:x val="0.25630183727034112"/>
              <c:y val="2.777777777777769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29901159230096236"/>
              <c:y val="-9.259259259259173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16717235345581802"/>
              <c:y val="1.388888888888872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0433333333333335"/>
                  <c:h val="5.5486293379994167E-2"/>
                </c:manualLayout>
              </c15:layout>
            </c:ext>
          </c:extLst>
        </c:dLbl>
      </c:pivotFmt>
      <c:pivotFmt>
        <c:idx val="8"/>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16717235345581802"/>
              <c:y val="1.388888888888872E-2"/>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0433333333333335"/>
                  <c:h val="5.5486293379994167E-2"/>
                </c:manualLayout>
              </c15:layout>
            </c:ext>
          </c:extLst>
        </c:dLbl>
      </c:pivotFmt>
      <c:pivotFmt>
        <c:idx val="10"/>
        <c:dLbl>
          <c:idx val="0"/>
          <c:layout>
            <c:manualLayout>
              <c:x val="0.29901159230096236"/>
              <c:y val="-9.2592592592591737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25630183727034112"/>
              <c:y val="2.7777777777777693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layout>
            <c:manualLayout>
              <c:x val="0.23321751968503926"/>
              <c:y val="6.944808982210557E-3"/>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0.12377777777777775"/>
                  <c:h val="6.9375182268883062E-2"/>
                </c:manualLayout>
              </c15:layout>
            </c:ext>
          </c:extLst>
        </c:dLbl>
      </c:pivotFmt>
      <c:pivotFmt>
        <c:idx val="13"/>
        <c:dLbl>
          <c:idx val="0"/>
          <c:layout>
            <c:manualLayout>
              <c:x val="0.3745188101487314"/>
              <c:y val="1.8518518518518517E-2"/>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0.32213167104111984"/>
              <c:y val="-4.2437781360066642E-17"/>
            </c:manualLayout>
          </c:layout>
          <c:dLblPos val="ctr"/>
          <c:showLegendKey val="0"/>
          <c:showVal val="1"/>
          <c:showCatName val="0"/>
          <c:showSerName val="0"/>
          <c:showPercent val="0"/>
          <c:showBubbleSize val="0"/>
          <c:extLst>
            <c:ext xmlns:c15="http://schemas.microsoft.com/office/drawing/2012/chart" uri="{CE6537A1-D6FC-4f65-9D91-7224C49458BB}">
              <c15:layout>
                <c:manualLayout>
                  <c:w val="7.3777777777777775E-2"/>
                  <c:h val="5.0856663750364538E-2"/>
                </c:manualLayout>
              </c15:layout>
            </c:ext>
          </c:extLst>
        </c:dLbl>
      </c:pivotFmt>
      <c:pivotFmt>
        <c:idx val="15"/>
        <c:dLbl>
          <c:idx val="0"/>
          <c:layout>
            <c:manualLayout>
              <c:x val="0.3144590988626420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0.16717235345581802"/>
              <c:y val="1.3888888888888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734870370370369"/>
              <c:y val="-2.103335587108406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5429567901234565"/>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0.23321751968503926"/>
              <c:y val="6.944808982210557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745188101487314"/>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0.32213167104111984"/>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layout>
            <c:manualLayout>
              <c:x val="0.31445909886264206"/>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42561728395061"/>
          <c:y val="0.18139508677034033"/>
          <c:w val="0.85798797025371831"/>
          <c:h val="0.77736111111111106"/>
        </c:manualLayout>
      </c:layout>
      <c:barChart>
        <c:barDir val="bar"/>
        <c:grouping val="stacked"/>
        <c:varyColors val="0"/>
        <c:ser>
          <c:idx val="0"/>
          <c:order val="0"/>
          <c:tx>
            <c:strRef>
              <c:f>'PIVOT TABLE'!$H$9</c:f>
              <c:strCache>
                <c:ptCount val="1"/>
                <c:pt idx="0">
                  <c:v>Total</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1-DE80-48AF-8692-1397D66F4D21}"/>
              </c:ext>
            </c:extLst>
          </c:dPt>
          <c:dPt>
            <c:idx val="1"/>
            <c:invertIfNegative val="0"/>
            <c:bubble3D val="0"/>
            <c:extLst>
              <c:ext xmlns:c16="http://schemas.microsoft.com/office/drawing/2014/chart" uri="{C3380CC4-5D6E-409C-BE32-E72D297353CC}">
                <c16:uniqueId val="{00000003-DE80-48AF-8692-1397D66F4D21}"/>
              </c:ext>
            </c:extLst>
          </c:dPt>
          <c:dPt>
            <c:idx val="2"/>
            <c:invertIfNegative val="0"/>
            <c:bubble3D val="0"/>
            <c:extLst>
              <c:ext xmlns:c16="http://schemas.microsoft.com/office/drawing/2014/chart" uri="{C3380CC4-5D6E-409C-BE32-E72D297353CC}">
                <c16:uniqueId val="{00000005-DE80-48AF-8692-1397D66F4D21}"/>
              </c:ext>
            </c:extLst>
          </c:dPt>
          <c:dPt>
            <c:idx val="3"/>
            <c:invertIfNegative val="0"/>
            <c:bubble3D val="0"/>
            <c:extLst>
              <c:ext xmlns:c16="http://schemas.microsoft.com/office/drawing/2014/chart" uri="{C3380CC4-5D6E-409C-BE32-E72D297353CC}">
                <c16:uniqueId val="{00000007-DE80-48AF-8692-1397D66F4D21}"/>
              </c:ext>
            </c:extLst>
          </c:dPt>
          <c:dPt>
            <c:idx val="4"/>
            <c:invertIfNegative val="0"/>
            <c:bubble3D val="0"/>
            <c:extLst>
              <c:ext xmlns:c16="http://schemas.microsoft.com/office/drawing/2014/chart" uri="{C3380CC4-5D6E-409C-BE32-E72D297353CC}">
                <c16:uniqueId val="{00000009-DE80-48AF-8692-1397D66F4D21}"/>
              </c:ext>
            </c:extLst>
          </c:dPt>
          <c:dPt>
            <c:idx val="5"/>
            <c:invertIfNegative val="0"/>
            <c:bubble3D val="0"/>
            <c:extLst>
              <c:ext xmlns:c16="http://schemas.microsoft.com/office/drawing/2014/chart" uri="{C3380CC4-5D6E-409C-BE32-E72D297353CC}">
                <c16:uniqueId val="{0000000B-DE80-48AF-8692-1397D66F4D21}"/>
              </c:ext>
            </c:extLst>
          </c:dPt>
          <c:dPt>
            <c:idx val="6"/>
            <c:invertIfNegative val="0"/>
            <c:bubble3D val="0"/>
            <c:extLst>
              <c:ext xmlns:c16="http://schemas.microsoft.com/office/drawing/2014/chart" uri="{C3380CC4-5D6E-409C-BE32-E72D297353CC}">
                <c16:uniqueId val="{0000000D-DE80-48AF-8692-1397D66F4D21}"/>
              </c:ext>
            </c:extLst>
          </c:dPt>
          <c:dLbls>
            <c:dLbl>
              <c:idx val="0"/>
              <c:layout>
                <c:manualLayout>
                  <c:x val="0.3734870370370369"/>
                  <c:y val="-2.1033355871084066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80-48AF-8692-1397D66F4D21}"/>
                </c:ext>
              </c:extLst>
            </c:dLbl>
            <c:dLbl>
              <c:idx val="1"/>
              <c:layout>
                <c:manualLayout>
                  <c:x val="0.35429567901234565"/>
                  <c:y val="2.777777777777777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80-48AF-8692-1397D66F4D21}"/>
                </c:ext>
              </c:extLst>
            </c:dLbl>
            <c:dLbl>
              <c:idx val="2"/>
              <c:layout>
                <c:manualLayout>
                  <c:x val="0.3745188101487314"/>
                  <c:y val="1.851851851851851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E80-48AF-8692-1397D66F4D21}"/>
                </c:ext>
              </c:extLst>
            </c:dLbl>
            <c:dLbl>
              <c:idx val="3"/>
              <c:layout>
                <c:manualLayout>
                  <c:x val="0.31445909886264206"/>
                  <c:y val="4.6296296296296294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E80-48AF-8692-1397D66F4D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TABLE'!$G$10:$G$13</c:f>
              <c:strCache>
                <c:ptCount val="4"/>
                <c:pt idx="0">
                  <c:v>BMW</c:v>
                </c:pt>
                <c:pt idx="1">
                  <c:v>Ford</c:v>
                </c:pt>
                <c:pt idx="2">
                  <c:v>Nissan</c:v>
                </c:pt>
                <c:pt idx="3">
                  <c:v>Toyota</c:v>
                </c:pt>
              </c:strCache>
            </c:strRef>
          </c:cat>
          <c:val>
            <c:numRef>
              <c:f>'PIVOT TABLE'!$H$10:$H$13</c:f>
              <c:numCache>
                <c:formatCode>0</c:formatCode>
                <c:ptCount val="4"/>
                <c:pt idx="0">
                  <c:v>3.3857142857142861</c:v>
                </c:pt>
                <c:pt idx="1">
                  <c:v>3.3249999999999997</c:v>
                </c:pt>
                <c:pt idx="2">
                  <c:v>3.1181818181818186</c:v>
                </c:pt>
                <c:pt idx="3">
                  <c:v>2.9846153846153842</c:v>
                </c:pt>
              </c:numCache>
            </c:numRef>
          </c:val>
          <c:extLst>
            <c:ext xmlns:c16="http://schemas.microsoft.com/office/drawing/2014/chart" uri="{C3380CC4-5D6E-409C-BE32-E72D297353CC}">
              <c16:uniqueId val="{0000000E-DE80-48AF-8692-1397D66F4D21}"/>
            </c:ext>
          </c:extLst>
        </c:ser>
        <c:dLbls>
          <c:dLblPos val="inEnd"/>
          <c:showLegendKey val="0"/>
          <c:showVal val="1"/>
          <c:showCatName val="0"/>
          <c:showSerName val="0"/>
          <c:showPercent val="0"/>
          <c:showBubbleSize val="0"/>
        </c:dLbls>
        <c:gapWidth val="150"/>
        <c:overlap val="100"/>
        <c:axId val="1098633743"/>
        <c:axId val="1098637583"/>
      </c:barChart>
      <c:catAx>
        <c:axId val="1098633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8637583"/>
        <c:crosses val="autoZero"/>
        <c:auto val="1"/>
        <c:lblAlgn val="ctr"/>
        <c:lblOffset val="100"/>
        <c:noMultiLvlLbl val="0"/>
      </c:catAx>
      <c:valAx>
        <c:axId val="1098637583"/>
        <c:scaling>
          <c:orientation val="minMax"/>
        </c:scaling>
        <c:delete val="1"/>
        <c:axPos val="b"/>
        <c:numFmt formatCode="0" sourceLinked="1"/>
        <c:majorTickMark val="none"/>
        <c:minorTickMark val="none"/>
        <c:tickLblPos val="nextTo"/>
        <c:crossAx val="109863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[car_performance_dataset.xlsx]PIVOT TABLE!PivotTable4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OF ACCELERATION OF CAR BRAND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TABLE'!$K$3</c:f>
              <c:strCache>
                <c:ptCount val="1"/>
                <c:pt idx="0">
                  <c:v>Total</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TABLE'!$J$4:$J$7</c:f>
              <c:strCache>
                <c:ptCount val="4"/>
                <c:pt idx="0">
                  <c:v>BMW</c:v>
                </c:pt>
                <c:pt idx="1">
                  <c:v>Ford</c:v>
                </c:pt>
                <c:pt idx="2">
                  <c:v>Nissan</c:v>
                </c:pt>
                <c:pt idx="3">
                  <c:v>Toyota</c:v>
                </c:pt>
              </c:strCache>
            </c:strRef>
          </c:cat>
          <c:val>
            <c:numRef>
              <c:f>'PIVOT TABLE'!$K$4:$K$7</c:f>
              <c:numCache>
                <c:formatCode>0</c:formatCode>
                <c:ptCount val="4"/>
                <c:pt idx="0">
                  <c:v>6.5928571428571434</c:v>
                </c:pt>
                <c:pt idx="1">
                  <c:v>6.8624999999999998</c:v>
                </c:pt>
                <c:pt idx="2">
                  <c:v>5.709090909090909</c:v>
                </c:pt>
                <c:pt idx="3">
                  <c:v>6.8076923076923075</c:v>
                </c:pt>
              </c:numCache>
            </c:numRef>
          </c:val>
          <c:smooth val="0"/>
          <c:extLst>
            <c:ext xmlns:c16="http://schemas.microsoft.com/office/drawing/2014/chart" uri="{C3380CC4-5D6E-409C-BE32-E72D297353CC}">
              <c16:uniqueId val="{00000000-00B0-477A-8DF2-9DF7FACF8672}"/>
            </c:ext>
          </c:extLst>
        </c:ser>
        <c:dLbls>
          <c:dLblPos val="t"/>
          <c:showLegendKey val="0"/>
          <c:showVal val="1"/>
          <c:showCatName val="0"/>
          <c:showSerName val="0"/>
          <c:showPercent val="0"/>
          <c:showBubbleSize val="0"/>
        </c:dLbls>
        <c:marker val="1"/>
        <c:smooth val="0"/>
        <c:axId val="1432741743"/>
        <c:axId val="1432746063"/>
      </c:lineChart>
      <c:catAx>
        <c:axId val="143274174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746063"/>
        <c:crosses val="autoZero"/>
        <c:auto val="1"/>
        <c:lblAlgn val="ctr"/>
        <c:lblOffset val="100"/>
        <c:noMultiLvlLbl val="0"/>
      </c:catAx>
      <c:valAx>
        <c:axId val="1432746063"/>
        <c:scaling>
          <c:orientation val="minMax"/>
        </c:scaling>
        <c:delete val="1"/>
        <c:axPos val="l"/>
        <c:numFmt formatCode="0" sourceLinked="1"/>
        <c:majorTickMark val="none"/>
        <c:minorTickMark val="none"/>
        <c:tickLblPos val="nextTo"/>
        <c:crossAx val="143274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8">
  <a:schemeClr val="accent5"/>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103924</xdr:colOff>
      <xdr:row>16</xdr:row>
      <xdr:rowOff>156777</xdr:rowOff>
    </xdr:from>
    <xdr:to>
      <xdr:col>3</xdr:col>
      <xdr:colOff>309664</xdr:colOff>
      <xdr:row>27</xdr:row>
      <xdr:rowOff>27480</xdr:rowOff>
    </xdr:to>
    <xdr:graphicFrame macro="">
      <xdr:nvGraphicFramePr>
        <xdr:cNvPr id="2" name="Chart 1">
          <a:extLst>
            <a:ext uri="{FF2B5EF4-FFF2-40B4-BE49-F238E27FC236}">
              <a16:creationId xmlns:a16="http://schemas.microsoft.com/office/drawing/2014/main" id="{EFB14599-989F-E8F2-E865-168363D63D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521629</xdr:colOff>
      <xdr:row>16</xdr:row>
      <xdr:rowOff>126645</xdr:rowOff>
    </xdr:from>
    <xdr:to>
      <xdr:col>7</xdr:col>
      <xdr:colOff>132523</xdr:colOff>
      <xdr:row>27</xdr:row>
      <xdr:rowOff>102655</xdr:rowOff>
    </xdr:to>
    <xdr:graphicFrame macro="">
      <xdr:nvGraphicFramePr>
        <xdr:cNvPr id="3" name="Chart 2">
          <a:extLst>
            <a:ext uri="{FF2B5EF4-FFF2-40B4-BE49-F238E27FC236}">
              <a16:creationId xmlns:a16="http://schemas.microsoft.com/office/drawing/2014/main" id="{382F9810-B001-824D-151C-E1BB36137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324255</xdr:colOff>
      <xdr:row>16</xdr:row>
      <xdr:rowOff>165065</xdr:rowOff>
    </xdr:from>
    <xdr:to>
      <xdr:col>10</xdr:col>
      <xdr:colOff>316150</xdr:colOff>
      <xdr:row>28</xdr:row>
      <xdr:rowOff>53195</xdr:rowOff>
    </xdr:to>
    <xdr:graphicFrame macro="">
      <xdr:nvGraphicFramePr>
        <xdr:cNvPr id="4" name="Chart 3">
          <a:extLst>
            <a:ext uri="{FF2B5EF4-FFF2-40B4-BE49-F238E27FC236}">
              <a16:creationId xmlns:a16="http://schemas.microsoft.com/office/drawing/2014/main" id="{0F3DDF5B-BB52-C817-8B24-750F68E34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564275</xdr:colOff>
      <xdr:row>17</xdr:row>
      <xdr:rowOff>84001</xdr:rowOff>
    </xdr:from>
    <xdr:to>
      <xdr:col>15</xdr:col>
      <xdr:colOff>583895</xdr:colOff>
      <xdr:row>27</xdr:row>
      <xdr:rowOff>101833</xdr:rowOff>
    </xdr:to>
    <xdr:graphicFrame macro="">
      <xdr:nvGraphicFramePr>
        <xdr:cNvPr id="6" name="Chart 5">
          <a:extLst>
            <a:ext uri="{FF2B5EF4-FFF2-40B4-BE49-F238E27FC236}">
              <a16:creationId xmlns:a16="http://schemas.microsoft.com/office/drawing/2014/main" id="{A7CCD8E7-2594-96F6-90C1-798AB7F657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574261</xdr:colOff>
      <xdr:row>16</xdr:row>
      <xdr:rowOff>158033</xdr:rowOff>
    </xdr:from>
    <xdr:to>
      <xdr:col>27</xdr:col>
      <xdr:colOff>209826</xdr:colOff>
      <xdr:row>29</xdr:row>
      <xdr:rowOff>44176</xdr:rowOff>
    </xdr:to>
    <xdr:graphicFrame macro="">
      <xdr:nvGraphicFramePr>
        <xdr:cNvPr id="8" name="Chart 7">
          <a:extLst>
            <a:ext uri="{FF2B5EF4-FFF2-40B4-BE49-F238E27FC236}">
              <a16:creationId xmlns:a16="http://schemas.microsoft.com/office/drawing/2014/main" id="{4C8A5698-AD90-01C5-BC23-44A573539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231912</xdr:colOff>
      <xdr:row>16</xdr:row>
      <xdr:rowOff>143566</xdr:rowOff>
    </xdr:from>
    <xdr:to>
      <xdr:col>21</xdr:col>
      <xdr:colOff>408609</xdr:colOff>
      <xdr:row>28</xdr:row>
      <xdr:rowOff>178903</xdr:rowOff>
    </xdr:to>
    <xdr:graphicFrame macro="">
      <xdr:nvGraphicFramePr>
        <xdr:cNvPr id="9" name="Chart 8">
          <a:extLst>
            <a:ext uri="{FF2B5EF4-FFF2-40B4-BE49-F238E27FC236}">
              <a16:creationId xmlns:a16="http://schemas.microsoft.com/office/drawing/2014/main" id="{B13B17C6-F6AC-087F-F028-9BDA24A9D0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135505</xdr:colOff>
      <xdr:row>27</xdr:row>
      <xdr:rowOff>77304</xdr:rowOff>
    </xdr:from>
    <xdr:to>
      <xdr:col>1</xdr:col>
      <xdr:colOff>1701942</xdr:colOff>
      <xdr:row>37</xdr:row>
      <xdr:rowOff>143094</xdr:rowOff>
    </xdr:to>
    <mc:AlternateContent xmlns:mc="http://schemas.openxmlformats.org/markup-compatibility/2006" xmlns:a14="http://schemas.microsoft.com/office/drawing/2010/main">
      <mc:Choice Requires="a14">
        <xdr:graphicFrame macro="">
          <xdr:nvGraphicFramePr>
            <xdr:cNvPr id="13" name="Brand">
              <a:extLst>
                <a:ext uri="{FF2B5EF4-FFF2-40B4-BE49-F238E27FC236}">
                  <a16:creationId xmlns:a16="http://schemas.microsoft.com/office/drawing/2014/main" id="{124B690D-2507-3C93-D729-03C93E72D967}"/>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06722" y="5146261"/>
              <a:ext cx="1565191" cy="19431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992589</xdr:colOff>
      <xdr:row>28</xdr:row>
      <xdr:rowOff>13031</xdr:rowOff>
    </xdr:from>
    <xdr:to>
      <xdr:col>5</xdr:col>
      <xdr:colOff>184492</xdr:colOff>
      <xdr:row>35</xdr:row>
      <xdr:rowOff>55217</xdr:rowOff>
    </xdr:to>
    <mc:AlternateContent xmlns:mc="http://schemas.openxmlformats.org/markup-compatibility/2006" xmlns:a14="http://schemas.microsoft.com/office/drawing/2010/main">
      <mc:Choice Requires="a14">
        <xdr:graphicFrame macro="">
          <xdr:nvGraphicFramePr>
            <xdr:cNvPr id="14" name="Fuel_Type">
              <a:extLst>
                <a:ext uri="{FF2B5EF4-FFF2-40B4-BE49-F238E27FC236}">
                  <a16:creationId xmlns:a16="http://schemas.microsoft.com/office/drawing/2014/main" id="{80C0DD27-EDE3-6F4E-A5FA-6B3EF51F7EE5}"/>
                </a:ext>
              </a:extLst>
            </xdr:cNvPr>
            <xdr:cNvGraphicFramePr/>
          </xdr:nvGraphicFramePr>
          <xdr:xfrm>
            <a:off x="0" y="0"/>
            <a:ext cx="0" cy="0"/>
          </xdr:xfrm>
          <a:graphic>
            <a:graphicData uri="http://schemas.microsoft.com/office/drawing/2010/slicer">
              <sle:slicer xmlns:sle="http://schemas.microsoft.com/office/drawing/2010/slicer" name="Fuel_Type"/>
            </a:graphicData>
          </a:graphic>
        </xdr:graphicFrame>
      </mc:Choice>
      <mc:Fallback xmlns="">
        <xdr:sp macro="" textlink="">
          <xdr:nvSpPr>
            <xdr:cNvPr id="0" name=""/>
            <xdr:cNvSpPr>
              <a:spLocks noTextEdit="1"/>
            </xdr:cNvSpPr>
          </xdr:nvSpPr>
          <xdr:spPr>
            <a:xfrm>
              <a:off x="4206241" y="5269727"/>
              <a:ext cx="182880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661283</xdr:colOff>
      <xdr:row>28</xdr:row>
      <xdr:rowOff>112423</xdr:rowOff>
    </xdr:from>
    <xdr:to>
      <xdr:col>10</xdr:col>
      <xdr:colOff>273550</xdr:colOff>
      <xdr:row>36</xdr:row>
      <xdr:rowOff>176696</xdr:rowOff>
    </xdr:to>
    <mc:AlternateContent xmlns:mc="http://schemas.openxmlformats.org/markup-compatibility/2006" xmlns:a14="http://schemas.microsoft.com/office/drawing/2010/main">
      <mc:Choice Requires="a14">
        <xdr:graphicFrame macro="">
          <xdr:nvGraphicFramePr>
            <xdr:cNvPr id="15" name="Transmission">
              <a:extLst>
                <a:ext uri="{FF2B5EF4-FFF2-40B4-BE49-F238E27FC236}">
                  <a16:creationId xmlns:a16="http://schemas.microsoft.com/office/drawing/2014/main" id="{6A53BC5D-EA7D-CF41-E522-9E42E9044553}"/>
                </a:ext>
              </a:extLst>
            </xdr:cNvPr>
            <xdr:cNvGraphicFramePr/>
          </xdr:nvGraphicFramePr>
          <xdr:xfrm>
            <a:off x="0" y="0"/>
            <a:ext cx="0" cy="0"/>
          </xdr:xfrm>
          <a:graphic>
            <a:graphicData uri="http://schemas.microsoft.com/office/drawing/2010/slicer">
              <sle:slicer xmlns:sle="http://schemas.microsoft.com/office/drawing/2010/slicer" name="Transmission"/>
            </a:graphicData>
          </a:graphic>
        </xdr:graphicFrame>
      </mc:Choice>
      <mc:Fallback xmlns="">
        <xdr:sp macro="" textlink="">
          <xdr:nvSpPr>
            <xdr:cNvPr id="0" name=""/>
            <xdr:cNvSpPr>
              <a:spLocks noTextEdit="1"/>
            </xdr:cNvSpPr>
          </xdr:nvSpPr>
          <xdr:spPr>
            <a:xfrm>
              <a:off x="9231022" y="5369119"/>
              <a:ext cx="1828800" cy="15661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331818</xdr:colOff>
      <xdr:row>1</xdr:row>
      <xdr:rowOff>36716</xdr:rowOff>
    </xdr:from>
    <xdr:to>
      <xdr:col>8</xdr:col>
      <xdr:colOff>110003</xdr:colOff>
      <xdr:row>2</xdr:row>
      <xdr:rowOff>166255</xdr:rowOff>
    </xdr:to>
    <xdr:pic>
      <xdr:nvPicPr>
        <xdr:cNvPr id="3" name="Picture 2">
          <a:extLst>
            <a:ext uri="{FF2B5EF4-FFF2-40B4-BE49-F238E27FC236}">
              <a16:creationId xmlns:a16="http://schemas.microsoft.com/office/drawing/2014/main" id="{2459769B-674C-9CAF-58C5-343B084138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89418" y="216825"/>
          <a:ext cx="1156712" cy="309648"/>
        </a:xfrm>
        <a:prstGeom prst="rect">
          <a:avLst/>
        </a:prstGeom>
      </xdr:spPr>
    </xdr:pic>
    <xdr:clientData/>
  </xdr:twoCellAnchor>
  <xdr:twoCellAnchor editAs="oneCell">
    <xdr:from>
      <xdr:col>13</xdr:col>
      <xdr:colOff>581893</xdr:colOff>
      <xdr:row>0</xdr:row>
      <xdr:rowOff>173181</xdr:rowOff>
    </xdr:from>
    <xdr:to>
      <xdr:col>15</xdr:col>
      <xdr:colOff>553051</xdr:colOff>
      <xdr:row>2</xdr:row>
      <xdr:rowOff>131618</xdr:rowOff>
    </xdr:to>
    <xdr:pic>
      <xdr:nvPicPr>
        <xdr:cNvPr id="9" name="Picture 8">
          <a:extLst>
            <a:ext uri="{FF2B5EF4-FFF2-40B4-BE49-F238E27FC236}">
              <a16:creationId xmlns:a16="http://schemas.microsoft.com/office/drawing/2014/main" id="{1B330574-26CB-44F2-B77C-72EF006575D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06693" y="173181"/>
          <a:ext cx="1190358" cy="318655"/>
        </a:xfrm>
        <a:prstGeom prst="rect">
          <a:avLst/>
        </a:prstGeom>
      </xdr:spPr>
    </xdr:pic>
    <xdr:clientData/>
  </xdr:twoCellAnchor>
  <xdr:twoCellAnchor>
    <xdr:from>
      <xdr:col>3</xdr:col>
      <xdr:colOff>47979</xdr:colOff>
      <xdr:row>4</xdr:row>
      <xdr:rowOff>16747</xdr:rowOff>
    </xdr:from>
    <xdr:to>
      <xdr:col>8</xdr:col>
      <xdr:colOff>79959</xdr:colOff>
      <xdr:row>13</xdr:row>
      <xdr:rowOff>133978</xdr:rowOff>
    </xdr:to>
    <xdr:graphicFrame macro="">
      <xdr:nvGraphicFramePr>
        <xdr:cNvPr id="11" name="Chart 10">
          <a:extLst>
            <a:ext uri="{FF2B5EF4-FFF2-40B4-BE49-F238E27FC236}">
              <a16:creationId xmlns:a16="http://schemas.microsoft.com/office/drawing/2014/main" id="{67E8860A-F648-47EE-84A1-152B7274BF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25121</xdr:colOff>
      <xdr:row>3</xdr:row>
      <xdr:rowOff>25122</xdr:rowOff>
    </xdr:from>
    <xdr:to>
      <xdr:col>2</xdr:col>
      <xdr:colOff>30480</xdr:colOff>
      <xdr:row>13</xdr:row>
      <xdr:rowOff>137160</xdr:rowOff>
    </xdr:to>
    <mc:AlternateContent xmlns:mc="http://schemas.openxmlformats.org/markup-compatibility/2006">
      <mc:Choice xmlns:a14="http://schemas.microsoft.com/office/drawing/2010/main" Requires="a14">
        <xdr:graphicFrame macro="">
          <xdr:nvGraphicFramePr>
            <xdr:cNvPr id="2" name="Brand 1">
              <a:extLst>
                <a:ext uri="{FF2B5EF4-FFF2-40B4-BE49-F238E27FC236}">
                  <a16:creationId xmlns:a16="http://schemas.microsoft.com/office/drawing/2014/main" id="{512DA6C9-AD2B-4508-AE91-301F56CE9748}"/>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25121" y="573762"/>
              <a:ext cx="1224559" cy="19408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44128</xdr:colOff>
      <xdr:row>13</xdr:row>
      <xdr:rowOff>156086</xdr:rowOff>
    </xdr:from>
    <xdr:to>
      <xdr:col>2</xdr:col>
      <xdr:colOff>47478</xdr:colOff>
      <xdr:row>20</xdr:row>
      <xdr:rowOff>15072</xdr:rowOff>
    </xdr:to>
    <mc:AlternateContent xmlns:mc="http://schemas.openxmlformats.org/markup-compatibility/2006">
      <mc:Choice xmlns:a14="http://schemas.microsoft.com/office/drawing/2010/main" Requires="a14">
        <xdr:graphicFrame macro="">
          <xdr:nvGraphicFramePr>
            <xdr:cNvPr id="4" name="Fuel_Type 1">
              <a:extLst>
                <a:ext uri="{FF2B5EF4-FFF2-40B4-BE49-F238E27FC236}">
                  <a16:creationId xmlns:a16="http://schemas.microsoft.com/office/drawing/2014/main" id="{3B4861A0-65C1-489C-B8CE-D3EDAE8EC433}"/>
                </a:ext>
              </a:extLst>
            </xdr:cNvPr>
            <xdr:cNvGraphicFramePr/>
          </xdr:nvGraphicFramePr>
          <xdr:xfrm>
            <a:off x="0" y="0"/>
            <a:ext cx="0" cy="0"/>
          </xdr:xfrm>
          <a:graphic>
            <a:graphicData uri="http://schemas.microsoft.com/office/drawing/2010/slicer">
              <sle:slicer xmlns:sle="http://schemas.microsoft.com/office/drawing/2010/slicer" name="Fuel_Type 1"/>
            </a:graphicData>
          </a:graphic>
        </xdr:graphicFrame>
      </mc:Choice>
      <mc:Fallback>
        <xdr:sp macro="" textlink="">
          <xdr:nvSpPr>
            <xdr:cNvPr id="0" name=""/>
            <xdr:cNvSpPr>
              <a:spLocks noTextEdit="1"/>
            </xdr:cNvSpPr>
          </xdr:nvSpPr>
          <xdr:spPr>
            <a:xfrm>
              <a:off x="44128" y="2533526"/>
              <a:ext cx="1222550" cy="1139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75363</xdr:colOff>
      <xdr:row>20</xdr:row>
      <xdr:rowOff>159099</xdr:rowOff>
    </xdr:from>
    <xdr:to>
      <xdr:col>2</xdr:col>
      <xdr:colOff>58616</xdr:colOff>
      <xdr:row>27</xdr:row>
      <xdr:rowOff>0</xdr:rowOff>
    </xdr:to>
    <mc:AlternateContent xmlns:mc="http://schemas.openxmlformats.org/markup-compatibility/2006">
      <mc:Choice xmlns:a14="http://schemas.microsoft.com/office/drawing/2010/main" Requires="a14">
        <xdr:graphicFrame macro="">
          <xdr:nvGraphicFramePr>
            <xdr:cNvPr id="5" name="Transmission 1">
              <a:extLst>
                <a:ext uri="{FF2B5EF4-FFF2-40B4-BE49-F238E27FC236}">
                  <a16:creationId xmlns:a16="http://schemas.microsoft.com/office/drawing/2014/main" id="{B6A64FAE-920B-4DBA-A58A-911D85F9E2B9}"/>
                </a:ext>
              </a:extLst>
            </xdr:cNvPr>
            <xdr:cNvGraphicFramePr/>
          </xdr:nvGraphicFramePr>
          <xdr:xfrm>
            <a:off x="0" y="0"/>
            <a:ext cx="0" cy="0"/>
          </xdr:xfrm>
          <a:graphic>
            <a:graphicData uri="http://schemas.microsoft.com/office/drawing/2010/slicer">
              <sle:slicer xmlns:sle="http://schemas.microsoft.com/office/drawing/2010/slicer" name="Transmission 1"/>
            </a:graphicData>
          </a:graphic>
        </xdr:graphicFrame>
      </mc:Choice>
      <mc:Fallback>
        <xdr:sp macro="" textlink="">
          <xdr:nvSpPr>
            <xdr:cNvPr id="0" name=""/>
            <xdr:cNvSpPr>
              <a:spLocks noTextEdit="1"/>
            </xdr:cNvSpPr>
          </xdr:nvSpPr>
          <xdr:spPr>
            <a:xfrm>
              <a:off x="75363" y="3816699"/>
              <a:ext cx="1202453" cy="11210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175847</xdr:colOff>
      <xdr:row>3</xdr:row>
      <xdr:rowOff>175848</xdr:rowOff>
    </xdr:from>
    <xdr:to>
      <xdr:col>12</xdr:col>
      <xdr:colOff>505007</xdr:colOff>
      <xdr:row>13</xdr:row>
      <xdr:rowOff>108450</xdr:rowOff>
    </xdr:to>
    <xdr:graphicFrame macro="">
      <xdr:nvGraphicFramePr>
        <xdr:cNvPr id="6" name="Chart 5">
          <a:extLst>
            <a:ext uri="{FF2B5EF4-FFF2-40B4-BE49-F238E27FC236}">
              <a16:creationId xmlns:a16="http://schemas.microsoft.com/office/drawing/2014/main" id="{685E2B09-D0B2-4353-BC9A-988276E520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123847</xdr:colOff>
      <xdr:row>3</xdr:row>
      <xdr:rowOff>153908</xdr:rowOff>
    </xdr:from>
    <xdr:to>
      <xdr:col>18</xdr:col>
      <xdr:colOff>315847</xdr:colOff>
      <xdr:row>13</xdr:row>
      <xdr:rowOff>85508</xdr:rowOff>
    </xdr:to>
    <xdr:graphicFrame macro="">
      <xdr:nvGraphicFramePr>
        <xdr:cNvPr id="8" name="Chart 7">
          <a:extLst>
            <a:ext uri="{FF2B5EF4-FFF2-40B4-BE49-F238E27FC236}">
              <a16:creationId xmlns:a16="http://schemas.microsoft.com/office/drawing/2014/main" id="{C5C69F8F-E95A-4B26-AD7A-56923BC14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30480</xdr:colOff>
      <xdr:row>14</xdr:row>
      <xdr:rowOff>121920</xdr:rowOff>
    </xdr:from>
    <xdr:to>
      <xdr:col>8</xdr:col>
      <xdr:colOff>62460</xdr:colOff>
      <xdr:row>24</xdr:row>
      <xdr:rowOff>67920</xdr:rowOff>
    </xdr:to>
    <xdr:graphicFrame macro="">
      <xdr:nvGraphicFramePr>
        <xdr:cNvPr id="13" name="Chart 12">
          <a:extLst>
            <a:ext uri="{FF2B5EF4-FFF2-40B4-BE49-F238E27FC236}">
              <a16:creationId xmlns:a16="http://schemas.microsoft.com/office/drawing/2014/main" id="{DC02B75B-EE92-4804-95D9-C82D8CBF7B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182880</xdr:colOff>
      <xdr:row>14</xdr:row>
      <xdr:rowOff>121920</xdr:rowOff>
    </xdr:from>
    <xdr:to>
      <xdr:col>12</xdr:col>
      <xdr:colOff>512040</xdr:colOff>
      <xdr:row>24</xdr:row>
      <xdr:rowOff>67920</xdr:rowOff>
    </xdr:to>
    <xdr:graphicFrame macro="">
      <xdr:nvGraphicFramePr>
        <xdr:cNvPr id="14" name="Chart 13">
          <a:extLst>
            <a:ext uri="{FF2B5EF4-FFF2-40B4-BE49-F238E27FC236}">
              <a16:creationId xmlns:a16="http://schemas.microsoft.com/office/drawing/2014/main" id="{D23B0ED6-B635-4A70-85EE-0577433A18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137160</xdr:colOff>
      <xdr:row>14</xdr:row>
      <xdr:rowOff>45720</xdr:rowOff>
    </xdr:from>
    <xdr:to>
      <xdr:col>18</xdr:col>
      <xdr:colOff>329160</xdr:colOff>
      <xdr:row>23</xdr:row>
      <xdr:rowOff>174600</xdr:rowOff>
    </xdr:to>
    <xdr:graphicFrame macro="">
      <xdr:nvGraphicFramePr>
        <xdr:cNvPr id="15" name="Chart 14">
          <a:extLst>
            <a:ext uri="{FF2B5EF4-FFF2-40B4-BE49-F238E27FC236}">
              <a16:creationId xmlns:a16="http://schemas.microsoft.com/office/drawing/2014/main" id="{27F32B42-8D35-4961-B351-971337FBB3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tu" refreshedDate="46099.871714814813" createdVersion="8" refreshedVersion="8" minRefreshableVersion="3" recordCount="300" xr:uid="{6087BF7C-649E-4551-B68B-A686AC2C229B}">
  <cacheSource type="worksheet">
    <worksheetSource ref="A1:J301" sheet="Car_Data"/>
  </cacheSource>
  <cacheFields count="10">
    <cacheField name="Car" numFmtId="0">
      <sharedItems count="300">
        <s v="Car_1"/>
        <s v="Car_2"/>
        <s v="Car_3"/>
        <s v="Car_4"/>
        <s v="Car_5"/>
        <s v="Car_6"/>
        <s v="Car_7"/>
        <s v="Car_8"/>
        <s v="Car_9"/>
        <s v="Car_10"/>
        <s v="Car_11"/>
        <s v="Car_12"/>
        <s v="Car_13"/>
        <s v="Car_14"/>
        <s v="Car_15"/>
        <s v="Car_16"/>
        <s v="Car_17"/>
        <s v="Car_18"/>
        <s v="Car_19"/>
        <s v="Car_20"/>
        <s v="Car_21"/>
        <s v="Car_22"/>
        <s v="Car_23"/>
        <s v="Car_24"/>
        <s v="Car_25"/>
        <s v="Car_26"/>
        <s v="Car_27"/>
        <s v="Car_28"/>
        <s v="Car_29"/>
        <s v="Car_30"/>
        <s v="Car_31"/>
        <s v="Car_32"/>
        <s v="Car_33"/>
        <s v="Car_34"/>
        <s v="Car_35"/>
        <s v="Car_36"/>
        <s v="Car_37"/>
        <s v="Car_38"/>
        <s v="Car_39"/>
        <s v="Car_40"/>
        <s v="Car_41"/>
        <s v="Car_42"/>
        <s v="Car_43"/>
        <s v="Car_44"/>
        <s v="Car_45"/>
        <s v="Car_46"/>
        <s v="Car_47"/>
        <s v="Car_48"/>
        <s v="Car_49"/>
        <s v="Car_50"/>
        <s v="Car_51"/>
        <s v="Car_52"/>
        <s v="Car_53"/>
        <s v="Car_54"/>
        <s v="Car_55"/>
        <s v="Car_56"/>
        <s v="Car_57"/>
        <s v="Car_58"/>
        <s v="Car_59"/>
        <s v="Car_60"/>
        <s v="Car_61"/>
        <s v="Car_62"/>
        <s v="Car_63"/>
        <s v="Car_64"/>
        <s v="Car_65"/>
        <s v="Car_66"/>
        <s v="Car_67"/>
        <s v="Car_68"/>
        <s v="Car_69"/>
        <s v="Car_70"/>
        <s v="Car_71"/>
        <s v="Car_72"/>
        <s v="Car_73"/>
        <s v="Car_74"/>
        <s v="Car_75"/>
        <s v="Car_76"/>
        <s v="Car_77"/>
        <s v="Car_78"/>
        <s v="Car_79"/>
        <s v="Car_80"/>
        <s v="Car_81"/>
        <s v="Car_82"/>
        <s v="Car_83"/>
        <s v="Car_84"/>
        <s v="Car_85"/>
        <s v="Car_86"/>
        <s v="Car_87"/>
        <s v="Car_88"/>
        <s v="Car_89"/>
        <s v="Car_90"/>
        <s v="Car_91"/>
        <s v="Car_92"/>
        <s v="Car_93"/>
        <s v="Car_94"/>
        <s v="Car_95"/>
        <s v="Car_96"/>
        <s v="Car_97"/>
        <s v="Car_98"/>
        <s v="Car_99"/>
        <s v="Car_100"/>
        <s v="Car_101"/>
        <s v="Car_102"/>
        <s v="Car_103"/>
        <s v="Car_104"/>
        <s v="Car_105"/>
        <s v="Car_106"/>
        <s v="Car_107"/>
        <s v="Car_108"/>
        <s v="Car_109"/>
        <s v="Car_110"/>
        <s v="Car_111"/>
        <s v="Car_112"/>
        <s v="Car_113"/>
        <s v="Car_114"/>
        <s v="Car_115"/>
        <s v="Car_116"/>
        <s v="Car_117"/>
        <s v="Car_118"/>
        <s v="Car_119"/>
        <s v="Car_120"/>
        <s v="Car_121"/>
        <s v="Car_122"/>
        <s v="Car_123"/>
        <s v="Car_124"/>
        <s v="Car_125"/>
        <s v="Car_126"/>
        <s v="Car_127"/>
        <s v="Car_128"/>
        <s v="Car_129"/>
        <s v="Car_130"/>
        <s v="Car_131"/>
        <s v="Car_132"/>
        <s v="Car_133"/>
        <s v="Car_134"/>
        <s v="Car_135"/>
        <s v="Car_136"/>
        <s v="Car_137"/>
        <s v="Car_138"/>
        <s v="Car_139"/>
        <s v="Car_140"/>
        <s v="Car_141"/>
        <s v="Car_142"/>
        <s v="Car_143"/>
        <s v="Car_144"/>
        <s v="Car_145"/>
        <s v="Car_146"/>
        <s v="Car_147"/>
        <s v="Car_148"/>
        <s v="Car_149"/>
        <s v="Car_150"/>
        <s v="Car_151"/>
        <s v="Car_152"/>
        <s v="Car_153"/>
        <s v="Car_154"/>
        <s v="Car_155"/>
        <s v="Car_156"/>
        <s v="Car_157"/>
        <s v="Car_158"/>
        <s v="Car_159"/>
        <s v="Car_160"/>
        <s v="Car_161"/>
        <s v="Car_162"/>
        <s v="Car_163"/>
        <s v="Car_164"/>
        <s v="Car_165"/>
        <s v="Car_166"/>
        <s v="Car_167"/>
        <s v="Car_168"/>
        <s v="Car_169"/>
        <s v="Car_170"/>
        <s v="Car_171"/>
        <s v="Car_172"/>
        <s v="Car_173"/>
        <s v="Car_174"/>
        <s v="Car_175"/>
        <s v="Car_176"/>
        <s v="Car_177"/>
        <s v="Car_178"/>
        <s v="Car_179"/>
        <s v="Car_180"/>
        <s v="Car_181"/>
        <s v="Car_182"/>
        <s v="Car_183"/>
        <s v="Car_184"/>
        <s v="Car_185"/>
        <s v="Car_186"/>
        <s v="Car_187"/>
        <s v="Car_188"/>
        <s v="Car_189"/>
        <s v="Car_190"/>
        <s v="Car_191"/>
        <s v="Car_192"/>
        <s v="Car_193"/>
        <s v="Car_194"/>
        <s v="Car_195"/>
        <s v="Car_196"/>
        <s v="Car_197"/>
        <s v="Car_198"/>
        <s v="Car_199"/>
        <s v="Car_200"/>
        <s v="Car_201"/>
        <s v="Car_202"/>
        <s v="Car_203"/>
        <s v="Car_204"/>
        <s v="Car_205"/>
        <s v="Car_206"/>
        <s v="Car_207"/>
        <s v="Car_208"/>
        <s v="Car_209"/>
        <s v="Car_210"/>
        <s v="Car_211"/>
        <s v="Car_212"/>
        <s v="Car_213"/>
        <s v="Car_214"/>
        <s v="Car_215"/>
        <s v="Car_216"/>
        <s v="Car_217"/>
        <s v="Car_218"/>
        <s v="Car_219"/>
        <s v="Car_220"/>
        <s v="Car_221"/>
        <s v="Car_222"/>
        <s v="Car_223"/>
        <s v="Car_224"/>
        <s v="Car_225"/>
        <s v="Car_226"/>
        <s v="Car_227"/>
        <s v="Car_228"/>
        <s v="Car_229"/>
        <s v="Car_230"/>
        <s v="Car_231"/>
        <s v="Car_232"/>
        <s v="Car_233"/>
        <s v="Car_234"/>
        <s v="Car_235"/>
        <s v="Car_236"/>
        <s v="Car_237"/>
        <s v="Car_238"/>
        <s v="Car_239"/>
        <s v="Car_240"/>
        <s v="Car_241"/>
        <s v="Car_242"/>
        <s v="Car_243"/>
        <s v="Car_244"/>
        <s v="Car_245"/>
        <s v="Car_246"/>
        <s v="Car_247"/>
        <s v="Car_248"/>
        <s v="Car_249"/>
        <s v="Car_250"/>
        <s v="Car_251"/>
        <s v="Car_252"/>
        <s v="Car_253"/>
        <s v="Car_254"/>
        <s v="Car_255"/>
        <s v="Car_256"/>
        <s v="Car_257"/>
        <s v="Car_258"/>
        <s v="Car_259"/>
        <s v="Car_260"/>
        <s v="Car_261"/>
        <s v="Car_262"/>
        <s v="Car_263"/>
        <s v="Car_264"/>
        <s v="Car_265"/>
        <s v="Car_266"/>
        <s v="Car_267"/>
        <s v="Car_268"/>
        <s v="Car_269"/>
        <s v="Car_270"/>
        <s v="Car_271"/>
        <s v="Car_272"/>
        <s v="Car_273"/>
        <s v="Car_274"/>
        <s v="Car_275"/>
        <s v="Car_276"/>
        <s v="Car_277"/>
        <s v="Car_278"/>
        <s v="Car_279"/>
        <s v="Car_280"/>
        <s v="Car_281"/>
        <s v="Car_282"/>
        <s v="Car_283"/>
        <s v="Car_284"/>
        <s v="Car_285"/>
        <s v="Car_286"/>
        <s v="Car_287"/>
        <s v="Car_288"/>
        <s v="Car_289"/>
        <s v="Car_290"/>
        <s v="Car_291"/>
        <s v="Car_292"/>
        <s v="Car_293"/>
        <s v="Car_294"/>
        <s v="Car_295"/>
        <s v="Car_296"/>
        <s v="Car_297"/>
        <s v="Car_298"/>
        <s v="Car_299"/>
        <s v="Car_300"/>
      </sharedItems>
    </cacheField>
    <cacheField name="Brand" numFmtId="0">
      <sharedItems count="7">
        <s v="Toyota"/>
        <s v="Ford"/>
        <s v="Audi"/>
        <s v="Honda"/>
        <s v="Tesla"/>
        <s v="BMW"/>
        <s v="Nissan"/>
      </sharedItems>
    </cacheField>
    <cacheField name="Engine_Size" numFmtId="0">
      <sharedItems containsSemiMixedTypes="0" containsString="0" containsNumber="1" minValue="1" maxValue="5"/>
    </cacheField>
    <cacheField name="Horsepower" numFmtId="0">
      <sharedItems containsSemiMixedTypes="0" containsString="0" containsNumber="1" containsInteger="1" minValue="102" maxValue="500"/>
    </cacheField>
    <cacheField name="MPG" numFmtId="0">
      <sharedItems containsSemiMixedTypes="0" containsString="0" containsNumber="1" containsInteger="1" minValue="15" maxValue="119"/>
    </cacheField>
    <cacheField name="Weight" numFmtId="0">
      <sharedItems containsSemiMixedTypes="0" containsString="0" containsNumber="1" containsInteger="1" minValue="2502" maxValue="4494" count="282">
        <n v="2700"/>
        <n v="2932"/>
        <n v="3331"/>
        <n v="3891"/>
        <n v="3004"/>
        <n v="3954"/>
        <n v="4080"/>
        <n v="2658"/>
        <n v="4407"/>
        <n v="2525"/>
        <n v="3398"/>
        <n v="3947"/>
        <n v="3223"/>
        <n v="4490"/>
        <n v="3261"/>
        <n v="3268"/>
        <n v="4426"/>
        <n v="4208"/>
        <n v="2942"/>
        <n v="3676"/>
        <n v="3955"/>
        <n v="3168"/>
        <n v="3946"/>
        <n v="2553"/>
        <n v="2615"/>
        <n v="4132"/>
        <n v="4204"/>
        <n v="4331"/>
        <n v="2595"/>
        <n v="3288"/>
        <n v="4250"/>
        <n v="3912"/>
        <n v="2944"/>
        <n v="2721"/>
        <n v="3941"/>
        <n v="3582"/>
        <n v="4011"/>
        <n v="4241"/>
        <n v="4243"/>
        <n v="4325"/>
        <n v="3431"/>
        <n v="3572"/>
        <n v="2722"/>
        <n v="4279"/>
        <n v="4197"/>
        <n v="3565"/>
        <n v="4174"/>
        <n v="2834"/>
        <n v="4215"/>
        <n v="2582"/>
        <n v="2719"/>
        <n v="3163"/>
        <n v="3854"/>
        <n v="4361"/>
        <n v="2677"/>
        <n v="3658"/>
        <n v="3039"/>
        <n v="3504"/>
        <n v="4345"/>
        <n v="4431"/>
        <n v="3723"/>
        <n v="3759"/>
        <n v="2760"/>
        <n v="3882"/>
        <n v="2897"/>
        <n v="4425"/>
        <n v="3919"/>
        <n v="4099"/>
        <n v="3985"/>
        <n v="4494"/>
        <n v="4449"/>
        <n v="2796"/>
        <n v="2710"/>
        <n v="4306"/>
        <n v="2820"/>
        <n v="3981"/>
        <n v="4138"/>
        <n v="3139"/>
        <n v="3283"/>
        <n v="2545"/>
        <n v="3622"/>
        <n v="4127"/>
        <n v="3182"/>
        <n v="4458"/>
        <n v="2676"/>
        <n v="3762"/>
        <n v="3038"/>
        <n v="3968"/>
        <n v="3501"/>
        <n v="3950"/>
        <n v="4305"/>
        <n v="3094"/>
        <n v="4327"/>
        <n v="2943"/>
        <n v="3903"/>
        <n v="4231"/>
        <n v="4481"/>
        <n v="3971"/>
        <n v="3863"/>
        <n v="3578"/>
        <n v="4022"/>
        <n v="2955"/>
        <n v="2679"/>
        <n v="2873"/>
        <n v="2737"/>
        <n v="4355"/>
        <n v="2797"/>
        <n v="2516"/>
        <n v="3753"/>
        <n v="3690"/>
        <n v="4049"/>
        <n v="3542"/>
        <n v="3427"/>
        <n v="4374"/>
        <n v="4350"/>
        <n v="4469"/>
        <n v="3734"/>
        <n v="4164"/>
        <n v="2926"/>
        <n v="4484"/>
        <n v="2678"/>
        <n v="3051"/>
        <n v="4182"/>
        <n v="3485"/>
        <n v="4419"/>
        <n v="3892"/>
        <n v="3415"/>
        <n v="3794"/>
        <n v="4424"/>
        <n v="3886"/>
        <n v="2831"/>
        <n v="3991"/>
        <n v="3153"/>
        <n v="3733"/>
        <n v="3597"/>
        <n v="3721"/>
        <n v="3571"/>
        <n v="3307"/>
        <n v="3809"/>
        <n v="3687"/>
        <n v="2966"/>
        <n v="3273"/>
        <n v="3987"/>
        <n v="3465"/>
        <n v="3871"/>
        <n v="3290"/>
        <n v="2725"/>
        <n v="2930"/>
        <n v="3470"/>
        <n v="2598"/>
        <n v="4373"/>
        <n v="3164"/>
        <n v="3335"/>
        <n v="3996"/>
        <n v="4480"/>
        <n v="3200"/>
        <n v="2812"/>
        <n v="3931"/>
        <n v="4334"/>
        <n v="4315"/>
        <n v="4289"/>
        <n v="3606"/>
        <n v="2565"/>
        <n v="3230"/>
        <n v="3436"/>
        <n v="4428"/>
        <n v="4343"/>
        <n v="2570"/>
        <n v="3999"/>
        <n v="3593"/>
        <n v="3904"/>
        <n v="3897"/>
        <n v="4134"/>
        <n v="2561"/>
        <n v="4422"/>
        <n v="3541"/>
        <n v="4259"/>
        <n v="3959"/>
        <n v="3962"/>
        <n v="3856"/>
        <n v="3452"/>
        <n v="3769"/>
        <n v="3529"/>
        <n v="3313"/>
        <n v="4258"/>
        <n v="4158"/>
        <n v="3263"/>
        <n v="3006"/>
        <n v="2915"/>
        <n v="4235"/>
        <n v="4178"/>
        <n v="3620"/>
        <n v="3983"/>
        <n v="2502"/>
        <n v="2752"/>
        <n v="3749"/>
        <n v="4074"/>
        <n v="3295"/>
        <n v="4427"/>
        <n v="3860"/>
        <n v="3008"/>
        <n v="3469"/>
        <n v="2728"/>
        <n v="3220"/>
        <n v="3056"/>
        <n v="2508"/>
        <n v="4342"/>
        <n v="3072"/>
        <n v="2645"/>
        <n v="3699"/>
        <n v="3576"/>
        <n v="4493"/>
        <n v="2992"/>
        <n v="4136"/>
        <n v="2587"/>
        <n v="2807"/>
        <n v="3590"/>
        <n v="3726"/>
        <n v="3880"/>
        <n v="2581"/>
        <n v="3967"/>
        <n v="2800"/>
        <n v="3616"/>
        <n v="3476"/>
        <n v="4400"/>
        <n v="2543"/>
        <n v="3272"/>
        <n v="3888"/>
        <n v="4151"/>
        <n v="4262"/>
        <n v="4464"/>
        <n v="4187"/>
        <n v="2535"/>
        <n v="4394"/>
        <n v="3484"/>
        <n v="2689"/>
        <n v="3194"/>
        <n v="3679"/>
        <n v="3031"/>
        <n v="3167"/>
        <n v="3675"/>
        <n v="4218"/>
        <n v="3049"/>
        <n v="4211"/>
        <n v="3274"/>
        <n v="3002"/>
        <n v="3355"/>
        <n v="4452"/>
        <n v="2537"/>
        <n v="3466"/>
        <n v="3315"/>
        <n v="2935"/>
        <n v="3406"/>
        <n v="2652"/>
        <n v="4152"/>
        <n v="3067"/>
        <n v="3736"/>
        <n v="3373"/>
        <n v="3898"/>
        <n v="3387"/>
        <n v="3123"/>
        <n v="4283"/>
        <n v="4444"/>
        <n v="3437"/>
        <n v="2751"/>
        <n v="4225"/>
        <n v="4344"/>
        <n v="2698"/>
        <n v="2999"/>
        <n v="3630"/>
        <n v="3205"/>
        <n v="2967"/>
        <n v="3518"/>
        <n v="3932"/>
        <n v="3815"/>
        <n v="4465"/>
        <n v="4346"/>
        <n v="2599"/>
        <n v="4238"/>
        <n v="3137"/>
        <n v="4436"/>
        <n v="3557"/>
      </sharedItems>
    </cacheField>
    <cacheField name="Acceleration" numFmtId="0">
      <sharedItems containsSemiMixedTypes="0" containsString="0" containsNumber="1" minValue="3" maxValue="10"/>
    </cacheField>
    <cacheField name="Cylinders" numFmtId="0">
      <sharedItems containsSemiMixedTypes="0" containsString="0" containsNumber="1" containsInteger="1" minValue="4" maxValue="8" count="3">
        <n v="4"/>
        <n v="6"/>
        <n v="8"/>
      </sharedItems>
    </cacheField>
    <cacheField name="Fuel_Type" numFmtId="0">
      <sharedItems count="3">
        <s v="Electric"/>
        <s v="Petrol"/>
        <s v="Diesel"/>
      </sharedItems>
    </cacheField>
    <cacheField name="Transmission" numFmtId="0">
      <sharedItems count="3">
        <s v="CVT"/>
        <s v="Automatic"/>
        <s v="Manual"/>
      </sharedItems>
    </cacheField>
  </cacheFields>
  <extLst>
    <ext xmlns:x14="http://schemas.microsoft.com/office/spreadsheetml/2009/9/main" uri="{725AE2AE-9491-48be-B2B4-4EB974FC3084}">
      <x14:pivotCacheDefinition pivotCacheId="1684035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n v="3.3"/>
    <n v="437"/>
    <n v="59"/>
    <x v="0"/>
    <n v="4.7"/>
    <x v="0"/>
    <x v="0"/>
    <x v="0"/>
  </r>
  <r>
    <x v="1"/>
    <x v="1"/>
    <n v="4.7"/>
    <n v="309"/>
    <n v="68"/>
    <x v="1"/>
    <n v="4.4000000000000004"/>
    <x v="1"/>
    <x v="0"/>
    <x v="1"/>
  </r>
  <r>
    <x v="2"/>
    <x v="2"/>
    <n v="2.4"/>
    <n v="248"/>
    <n v="101"/>
    <x v="2"/>
    <n v="3.8"/>
    <x v="1"/>
    <x v="1"/>
    <x v="1"/>
  </r>
  <r>
    <x v="3"/>
    <x v="0"/>
    <n v="4.8"/>
    <n v="459"/>
    <n v="92"/>
    <x v="3"/>
    <n v="4.2"/>
    <x v="2"/>
    <x v="0"/>
    <x v="1"/>
  </r>
  <r>
    <x v="4"/>
    <x v="1"/>
    <n v="4.5999999999999996"/>
    <n v="369"/>
    <n v="66"/>
    <x v="4"/>
    <n v="6.4"/>
    <x v="2"/>
    <x v="1"/>
    <x v="2"/>
  </r>
  <r>
    <x v="5"/>
    <x v="2"/>
    <n v="2.1"/>
    <n v="250"/>
    <n v="32"/>
    <x v="5"/>
    <n v="8.6999999999999993"/>
    <x v="2"/>
    <x v="2"/>
    <x v="2"/>
  </r>
  <r>
    <x v="6"/>
    <x v="1"/>
    <n v="3.5"/>
    <n v="262"/>
    <n v="36"/>
    <x v="6"/>
    <n v="3.4"/>
    <x v="0"/>
    <x v="1"/>
    <x v="2"/>
  </r>
  <r>
    <x v="7"/>
    <x v="3"/>
    <n v="1.6"/>
    <n v="151"/>
    <n v="69"/>
    <x v="7"/>
    <n v="9.9"/>
    <x v="2"/>
    <x v="2"/>
    <x v="0"/>
  </r>
  <r>
    <x v="8"/>
    <x v="1"/>
    <n v="2.1"/>
    <n v="111"/>
    <n v="32"/>
    <x v="8"/>
    <n v="7.2"/>
    <x v="0"/>
    <x v="2"/>
    <x v="2"/>
  </r>
  <r>
    <x v="9"/>
    <x v="4"/>
    <n v="4.2"/>
    <n v="221"/>
    <n v="23"/>
    <x v="9"/>
    <n v="9.1"/>
    <x v="0"/>
    <x v="1"/>
    <x v="1"/>
  </r>
  <r>
    <x v="10"/>
    <x v="4"/>
    <n v="3.1"/>
    <n v="301"/>
    <n v="31"/>
    <x v="10"/>
    <n v="6.9"/>
    <x v="0"/>
    <x v="1"/>
    <x v="1"/>
  </r>
  <r>
    <x v="11"/>
    <x v="3"/>
    <n v="1.7"/>
    <n v="428"/>
    <n v="42"/>
    <x v="11"/>
    <n v="8.5"/>
    <x v="0"/>
    <x v="0"/>
    <x v="1"/>
  </r>
  <r>
    <x v="12"/>
    <x v="2"/>
    <n v="2.8"/>
    <n v="399"/>
    <n v="47"/>
    <x v="12"/>
    <n v="3.7"/>
    <x v="1"/>
    <x v="2"/>
    <x v="1"/>
  </r>
  <r>
    <x v="13"/>
    <x v="0"/>
    <n v="3.3"/>
    <n v="444"/>
    <n v="94"/>
    <x v="13"/>
    <n v="8.3000000000000007"/>
    <x v="1"/>
    <x v="1"/>
    <x v="0"/>
  </r>
  <r>
    <x v="14"/>
    <x v="2"/>
    <n v="2.8"/>
    <n v="135"/>
    <n v="113"/>
    <x v="14"/>
    <n v="7.3"/>
    <x v="0"/>
    <x v="1"/>
    <x v="2"/>
  </r>
  <r>
    <x v="15"/>
    <x v="0"/>
    <n v="1"/>
    <n v="391"/>
    <n v="15"/>
    <x v="15"/>
    <n v="3.7"/>
    <x v="1"/>
    <x v="2"/>
    <x v="2"/>
  </r>
  <r>
    <x v="16"/>
    <x v="5"/>
    <n v="4.9000000000000004"/>
    <n v="107"/>
    <n v="106"/>
    <x v="16"/>
    <n v="5.2"/>
    <x v="1"/>
    <x v="1"/>
    <x v="0"/>
  </r>
  <r>
    <x v="17"/>
    <x v="4"/>
    <n v="3"/>
    <n v="320"/>
    <n v="44"/>
    <x v="17"/>
    <n v="8.5"/>
    <x v="2"/>
    <x v="0"/>
    <x v="1"/>
  </r>
  <r>
    <x v="18"/>
    <x v="6"/>
    <n v="2.9"/>
    <n v="253"/>
    <n v="91"/>
    <x v="18"/>
    <n v="8.1999999999999993"/>
    <x v="2"/>
    <x v="2"/>
    <x v="2"/>
  </r>
  <r>
    <x v="19"/>
    <x v="2"/>
    <n v="4.8"/>
    <n v="279"/>
    <n v="79"/>
    <x v="19"/>
    <n v="8"/>
    <x v="2"/>
    <x v="1"/>
    <x v="2"/>
  </r>
  <r>
    <x v="20"/>
    <x v="0"/>
    <n v="2"/>
    <n v="300"/>
    <n v="25"/>
    <x v="20"/>
    <n v="8"/>
    <x v="2"/>
    <x v="1"/>
    <x v="2"/>
  </r>
  <r>
    <x v="21"/>
    <x v="0"/>
    <n v="4.8"/>
    <n v="372"/>
    <n v="67"/>
    <x v="21"/>
    <n v="8.6"/>
    <x v="2"/>
    <x v="0"/>
    <x v="2"/>
  </r>
  <r>
    <x v="22"/>
    <x v="4"/>
    <n v="1.4"/>
    <n v="175"/>
    <n v="49"/>
    <x v="22"/>
    <n v="6.5"/>
    <x v="0"/>
    <x v="0"/>
    <x v="1"/>
  </r>
  <r>
    <x v="23"/>
    <x v="1"/>
    <n v="2.2000000000000002"/>
    <n v="210"/>
    <n v="112"/>
    <x v="23"/>
    <n v="3.1"/>
    <x v="0"/>
    <x v="2"/>
    <x v="2"/>
  </r>
  <r>
    <x v="24"/>
    <x v="4"/>
    <n v="5"/>
    <n v="454"/>
    <n v="117"/>
    <x v="24"/>
    <n v="8.6"/>
    <x v="0"/>
    <x v="0"/>
    <x v="0"/>
  </r>
  <r>
    <x v="25"/>
    <x v="5"/>
    <n v="4"/>
    <n v="193"/>
    <n v="52"/>
    <x v="25"/>
    <n v="4.3"/>
    <x v="1"/>
    <x v="0"/>
    <x v="2"/>
  </r>
  <r>
    <x v="26"/>
    <x v="1"/>
    <n v="3.9"/>
    <n v="190"/>
    <n v="34"/>
    <x v="26"/>
    <n v="3.6"/>
    <x v="1"/>
    <x v="2"/>
    <x v="0"/>
  </r>
  <r>
    <x v="27"/>
    <x v="6"/>
    <n v="2.7"/>
    <n v="401"/>
    <n v="77"/>
    <x v="27"/>
    <n v="7.5"/>
    <x v="2"/>
    <x v="0"/>
    <x v="0"/>
  </r>
  <r>
    <x v="28"/>
    <x v="1"/>
    <n v="2.9"/>
    <n v="489"/>
    <n v="43"/>
    <x v="28"/>
    <n v="3.6"/>
    <x v="2"/>
    <x v="0"/>
    <x v="1"/>
  </r>
  <r>
    <x v="29"/>
    <x v="5"/>
    <n v="1.8"/>
    <n v="176"/>
    <n v="71"/>
    <x v="29"/>
    <n v="4.8"/>
    <x v="0"/>
    <x v="0"/>
    <x v="2"/>
  </r>
  <r>
    <x v="30"/>
    <x v="2"/>
    <n v="1.5"/>
    <n v="232"/>
    <n v="106"/>
    <x v="30"/>
    <n v="4.9000000000000004"/>
    <x v="2"/>
    <x v="2"/>
    <x v="1"/>
  </r>
  <r>
    <x v="31"/>
    <x v="1"/>
    <n v="1.5"/>
    <n v="150"/>
    <n v="96"/>
    <x v="31"/>
    <n v="8.9"/>
    <x v="2"/>
    <x v="0"/>
    <x v="0"/>
  </r>
  <r>
    <x v="32"/>
    <x v="5"/>
    <n v="3.4"/>
    <n v="243"/>
    <n v="74"/>
    <x v="32"/>
    <n v="7.1"/>
    <x v="1"/>
    <x v="0"/>
    <x v="2"/>
  </r>
  <r>
    <x v="33"/>
    <x v="4"/>
    <n v="3"/>
    <n v="237"/>
    <n v="28"/>
    <x v="33"/>
    <n v="4.3"/>
    <x v="1"/>
    <x v="0"/>
    <x v="2"/>
  </r>
  <r>
    <x v="34"/>
    <x v="3"/>
    <n v="2.6"/>
    <n v="141"/>
    <n v="112"/>
    <x v="34"/>
    <n v="6.2"/>
    <x v="0"/>
    <x v="1"/>
    <x v="2"/>
  </r>
  <r>
    <x v="35"/>
    <x v="5"/>
    <n v="3"/>
    <n v="353"/>
    <n v="18"/>
    <x v="35"/>
    <n v="9.5"/>
    <x v="1"/>
    <x v="2"/>
    <x v="0"/>
  </r>
  <r>
    <x v="36"/>
    <x v="5"/>
    <n v="4"/>
    <n v="146"/>
    <n v="38"/>
    <x v="36"/>
    <n v="7.2"/>
    <x v="1"/>
    <x v="0"/>
    <x v="2"/>
  </r>
  <r>
    <x v="37"/>
    <x v="5"/>
    <n v="3.4"/>
    <n v="176"/>
    <n v="84"/>
    <x v="37"/>
    <n v="4.9000000000000004"/>
    <x v="2"/>
    <x v="1"/>
    <x v="2"/>
  </r>
  <r>
    <x v="38"/>
    <x v="3"/>
    <n v="3.8"/>
    <n v="304"/>
    <n v="111"/>
    <x v="38"/>
    <n v="7.8"/>
    <x v="0"/>
    <x v="1"/>
    <x v="2"/>
  </r>
  <r>
    <x v="39"/>
    <x v="2"/>
    <n v="2.8"/>
    <n v="220"/>
    <n v="112"/>
    <x v="39"/>
    <n v="6.8"/>
    <x v="0"/>
    <x v="2"/>
    <x v="0"/>
  </r>
  <r>
    <x v="40"/>
    <x v="3"/>
    <n v="4.5999999999999996"/>
    <n v="277"/>
    <n v="71"/>
    <x v="40"/>
    <n v="7"/>
    <x v="2"/>
    <x v="1"/>
    <x v="2"/>
  </r>
  <r>
    <x v="41"/>
    <x v="1"/>
    <n v="3.7"/>
    <n v="145"/>
    <n v="83"/>
    <x v="41"/>
    <n v="6.6"/>
    <x v="2"/>
    <x v="2"/>
    <x v="2"/>
  </r>
  <r>
    <x v="42"/>
    <x v="1"/>
    <n v="1.6"/>
    <n v="201"/>
    <n v="60"/>
    <x v="42"/>
    <n v="8.6"/>
    <x v="2"/>
    <x v="2"/>
    <x v="1"/>
  </r>
  <r>
    <x v="43"/>
    <x v="3"/>
    <n v="2.2999999999999998"/>
    <n v="201"/>
    <n v="25"/>
    <x v="43"/>
    <n v="10"/>
    <x v="2"/>
    <x v="2"/>
    <x v="0"/>
  </r>
  <r>
    <x v="44"/>
    <x v="0"/>
    <n v="3.2"/>
    <n v="195"/>
    <n v="57"/>
    <x v="44"/>
    <n v="5.8"/>
    <x v="0"/>
    <x v="0"/>
    <x v="0"/>
  </r>
  <r>
    <x v="45"/>
    <x v="0"/>
    <n v="2.2999999999999998"/>
    <n v="336"/>
    <n v="117"/>
    <x v="45"/>
    <n v="8.8000000000000007"/>
    <x v="1"/>
    <x v="0"/>
    <x v="1"/>
  </r>
  <r>
    <x v="46"/>
    <x v="4"/>
    <n v="1.4"/>
    <n v="199"/>
    <n v="68"/>
    <x v="46"/>
    <n v="7"/>
    <x v="0"/>
    <x v="2"/>
    <x v="2"/>
  </r>
  <r>
    <x v="47"/>
    <x v="4"/>
    <n v="1.7"/>
    <n v="266"/>
    <n v="23"/>
    <x v="47"/>
    <n v="4.8"/>
    <x v="0"/>
    <x v="1"/>
    <x v="0"/>
  </r>
  <r>
    <x v="48"/>
    <x v="0"/>
    <n v="3.7"/>
    <n v="465"/>
    <n v="66"/>
    <x v="48"/>
    <n v="3.5"/>
    <x v="0"/>
    <x v="2"/>
    <x v="1"/>
  </r>
  <r>
    <x v="49"/>
    <x v="3"/>
    <n v="4.2"/>
    <n v="224"/>
    <n v="43"/>
    <x v="49"/>
    <n v="8"/>
    <x v="2"/>
    <x v="0"/>
    <x v="0"/>
  </r>
  <r>
    <x v="50"/>
    <x v="2"/>
    <n v="2.4"/>
    <n v="193"/>
    <n v="18"/>
    <x v="50"/>
    <n v="4.5"/>
    <x v="0"/>
    <x v="1"/>
    <x v="1"/>
  </r>
  <r>
    <x v="51"/>
    <x v="6"/>
    <n v="1.8"/>
    <n v="141"/>
    <n v="75"/>
    <x v="51"/>
    <n v="7.1"/>
    <x v="0"/>
    <x v="0"/>
    <x v="2"/>
  </r>
  <r>
    <x v="52"/>
    <x v="6"/>
    <n v="2.7"/>
    <n v="166"/>
    <n v="65"/>
    <x v="52"/>
    <n v="4.5"/>
    <x v="1"/>
    <x v="1"/>
    <x v="0"/>
  </r>
  <r>
    <x v="53"/>
    <x v="3"/>
    <n v="2.1"/>
    <n v="486"/>
    <n v="63"/>
    <x v="53"/>
    <n v="7.8"/>
    <x v="0"/>
    <x v="2"/>
    <x v="2"/>
  </r>
  <r>
    <x v="54"/>
    <x v="1"/>
    <n v="1.6"/>
    <n v="354"/>
    <n v="49"/>
    <x v="54"/>
    <n v="9.1"/>
    <x v="1"/>
    <x v="1"/>
    <x v="1"/>
  </r>
  <r>
    <x v="55"/>
    <x v="5"/>
    <n v="4.5999999999999996"/>
    <n v="274"/>
    <n v="73"/>
    <x v="55"/>
    <n v="5.8"/>
    <x v="0"/>
    <x v="1"/>
    <x v="0"/>
  </r>
  <r>
    <x v="56"/>
    <x v="2"/>
    <n v="3.2"/>
    <n v="110"/>
    <n v="117"/>
    <x v="56"/>
    <n v="6.9"/>
    <x v="2"/>
    <x v="1"/>
    <x v="0"/>
  </r>
  <r>
    <x v="57"/>
    <x v="4"/>
    <n v="4.5"/>
    <n v="298"/>
    <n v="15"/>
    <x v="57"/>
    <n v="5.9"/>
    <x v="1"/>
    <x v="0"/>
    <x v="1"/>
  </r>
  <r>
    <x v="58"/>
    <x v="2"/>
    <n v="1.9"/>
    <n v="216"/>
    <n v="41"/>
    <x v="58"/>
    <n v="6.2"/>
    <x v="0"/>
    <x v="2"/>
    <x v="0"/>
  </r>
  <r>
    <x v="59"/>
    <x v="3"/>
    <n v="3.8"/>
    <n v="272"/>
    <n v="45"/>
    <x v="59"/>
    <n v="7.6"/>
    <x v="2"/>
    <x v="2"/>
    <x v="2"/>
  </r>
  <r>
    <x v="60"/>
    <x v="3"/>
    <n v="4.7"/>
    <n v="227"/>
    <n v="28"/>
    <x v="60"/>
    <n v="6.6"/>
    <x v="0"/>
    <x v="0"/>
    <x v="0"/>
  </r>
  <r>
    <x v="61"/>
    <x v="4"/>
    <n v="4.7"/>
    <n v="489"/>
    <n v="28"/>
    <x v="61"/>
    <n v="9.6999999999999993"/>
    <x v="2"/>
    <x v="1"/>
    <x v="1"/>
  </r>
  <r>
    <x v="62"/>
    <x v="4"/>
    <n v="1.3"/>
    <n v="384"/>
    <n v="68"/>
    <x v="62"/>
    <n v="3.6"/>
    <x v="2"/>
    <x v="0"/>
    <x v="2"/>
  </r>
  <r>
    <x v="63"/>
    <x v="0"/>
    <n v="2.4"/>
    <n v="357"/>
    <n v="44"/>
    <x v="63"/>
    <n v="3.6"/>
    <x v="1"/>
    <x v="2"/>
    <x v="1"/>
  </r>
  <r>
    <x v="64"/>
    <x v="4"/>
    <n v="1.5"/>
    <n v="384"/>
    <n v="41"/>
    <x v="64"/>
    <n v="9.4"/>
    <x v="2"/>
    <x v="2"/>
    <x v="0"/>
  </r>
  <r>
    <x v="65"/>
    <x v="4"/>
    <n v="4.9000000000000004"/>
    <n v="185"/>
    <n v="115"/>
    <x v="26"/>
    <n v="8"/>
    <x v="0"/>
    <x v="2"/>
    <x v="0"/>
  </r>
  <r>
    <x v="66"/>
    <x v="0"/>
    <n v="1.3"/>
    <n v="478"/>
    <n v="67"/>
    <x v="65"/>
    <n v="6.8"/>
    <x v="2"/>
    <x v="2"/>
    <x v="0"/>
  </r>
  <r>
    <x v="67"/>
    <x v="4"/>
    <n v="3.9"/>
    <n v="424"/>
    <n v="64"/>
    <x v="66"/>
    <n v="8.1"/>
    <x v="2"/>
    <x v="2"/>
    <x v="1"/>
  </r>
  <r>
    <x v="68"/>
    <x v="5"/>
    <n v="2.2999999999999998"/>
    <n v="141"/>
    <n v="112"/>
    <x v="67"/>
    <n v="9"/>
    <x v="1"/>
    <x v="0"/>
    <x v="1"/>
  </r>
  <r>
    <x v="69"/>
    <x v="1"/>
    <n v="1.3"/>
    <n v="490"/>
    <n v="103"/>
    <x v="68"/>
    <n v="5.3"/>
    <x v="0"/>
    <x v="0"/>
    <x v="0"/>
  </r>
  <r>
    <x v="70"/>
    <x v="2"/>
    <n v="2.5"/>
    <n v="400"/>
    <n v="32"/>
    <x v="69"/>
    <n v="5.6"/>
    <x v="0"/>
    <x v="2"/>
    <x v="0"/>
  </r>
  <r>
    <x v="71"/>
    <x v="2"/>
    <n v="4.3"/>
    <n v="443"/>
    <n v="29"/>
    <x v="70"/>
    <n v="3.2"/>
    <x v="0"/>
    <x v="0"/>
    <x v="1"/>
  </r>
  <r>
    <x v="72"/>
    <x v="4"/>
    <n v="1.1000000000000001"/>
    <n v="470"/>
    <n v="55"/>
    <x v="71"/>
    <n v="6.5"/>
    <x v="1"/>
    <x v="0"/>
    <x v="1"/>
  </r>
  <r>
    <x v="73"/>
    <x v="3"/>
    <n v="4.4000000000000004"/>
    <n v="143"/>
    <n v="48"/>
    <x v="72"/>
    <n v="6.6"/>
    <x v="2"/>
    <x v="0"/>
    <x v="2"/>
  </r>
  <r>
    <x v="74"/>
    <x v="0"/>
    <n v="1.5"/>
    <n v="244"/>
    <n v="104"/>
    <x v="73"/>
    <n v="3.7"/>
    <x v="0"/>
    <x v="2"/>
    <x v="1"/>
  </r>
  <r>
    <x v="75"/>
    <x v="6"/>
    <n v="3"/>
    <n v="299"/>
    <n v="90"/>
    <x v="74"/>
    <n v="5"/>
    <x v="0"/>
    <x v="1"/>
    <x v="2"/>
  </r>
  <r>
    <x v="76"/>
    <x v="0"/>
    <n v="2.4"/>
    <n v="399"/>
    <n v="101"/>
    <x v="75"/>
    <n v="5.0999999999999996"/>
    <x v="1"/>
    <x v="0"/>
    <x v="2"/>
  </r>
  <r>
    <x v="77"/>
    <x v="0"/>
    <n v="4.7"/>
    <n v="430"/>
    <n v="35"/>
    <x v="76"/>
    <n v="6.7"/>
    <x v="0"/>
    <x v="0"/>
    <x v="0"/>
  </r>
  <r>
    <x v="78"/>
    <x v="1"/>
    <n v="5"/>
    <n v="274"/>
    <n v="40"/>
    <x v="77"/>
    <n v="4.5"/>
    <x v="1"/>
    <x v="1"/>
    <x v="1"/>
  </r>
  <r>
    <x v="79"/>
    <x v="0"/>
    <n v="2.2000000000000002"/>
    <n v="399"/>
    <n v="56"/>
    <x v="78"/>
    <n v="3.8"/>
    <x v="0"/>
    <x v="1"/>
    <x v="2"/>
  </r>
  <r>
    <x v="80"/>
    <x v="5"/>
    <n v="4.0999999999999996"/>
    <n v="124"/>
    <n v="87"/>
    <x v="79"/>
    <n v="7.1"/>
    <x v="1"/>
    <x v="2"/>
    <x v="0"/>
  </r>
  <r>
    <x v="81"/>
    <x v="3"/>
    <n v="3"/>
    <n v="350"/>
    <n v="76"/>
    <x v="80"/>
    <n v="4.5999999999999996"/>
    <x v="1"/>
    <x v="0"/>
    <x v="1"/>
  </r>
  <r>
    <x v="82"/>
    <x v="0"/>
    <n v="3.1"/>
    <n v="450"/>
    <n v="49"/>
    <x v="81"/>
    <n v="3.1"/>
    <x v="0"/>
    <x v="2"/>
    <x v="2"/>
  </r>
  <r>
    <x v="83"/>
    <x v="5"/>
    <n v="1.2"/>
    <n v="277"/>
    <n v="81"/>
    <x v="59"/>
    <n v="7"/>
    <x v="1"/>
    <x v="0"/>
    <x v="1"/>
  </r>
  <r>
    <x v="84"/>
    <x v="5"/>
    <n v="1.7"/>
    <n v="163"/>
    <n v="45"/>
    <x v="22"/>
    <n v="9.1999999999999993"/>
    <x v="0"/>
    <x v="2"/>
    <x v="0"/>
  </r>
  <r>
    <x v="85"/>
    <x v="5"/>
    <n v="4.4000000000000004"/>
    <n v="152"/>
    <n v="49"/>
    <x v="82"/>
    <n v="7.9"/>
    <x v="0"/>
    <x v="2"/>
    <x v="0"/>
  </r>
  <r>
    <x v="86"/>
    <x v="4"/>
    <n v="4.9000000000000004"/>
    <n v="349"/>
    <n v="42"/>
    <x v="83"/>
    <n v="9.5"/>
    <x v="0"/>
    <x v="1"/>
    <x v="0"/>
  </r>
  <r>
    <x v="87"/>
    <x v="1"/>
    <n v="3.4"/>
    <n v="262"/>
    <n v="115"/>
    <x v="84"/>
    <n v="7.2"/>
    <x v="1"/>
    <x v="0"/>
    <x v="2"/>
  </r>
  <r>
    <x v="88"/>
    <x v="6"/>
    <n v="3.8"/>
    <n v="473"/>
    <n v="69"/>
    <x v="85"/>
    <n v="3.8"/>
    <x v="2"/>
    <x v="1"/>
    <x v="0"/>
  </r>
  <r>
    <x v="89"/>
    <x v="6"/>
    <n v="3.9"/>
    <n v="242"/>
    <n v="99"/>
    <x v="86"/>
    <n v="3.8"/>
    <x v="0"/>
    <x v="0"/>
    <x v="1"/>
  </r>
  <r>
    <x v="90"/>
    <x v="6"/>
    <n v="1.8"/>
    <n v="159"/>
    <n v="90"/>
    <x v="87"/>
    <n v="4.0999999999999996"/>
    <x v="0"/>
    <x v="1"/>
    <x v="0"/>
  </r>
  <r>
    <x v="91"/>
    <x v="2"/>
    <n v="2.5"/>
    <n v="445"/>
    <n v="78"/>
    <x v="88"/>
    <n v="4.4000000000000004"/>
    <x v="0"/>
    <x v="1"/>
    <x v="0"/>
  </r>
  <r>
    <x v="92"/>
    <x v="5"/>
    <n v="3.6"/>
    <n v="226"/>
    <n v="111"/>
    <x v="89"/>
    <n v="3.5"/>
    <x v="2"/>
    <x v="0"/>
    <x v="1"/>
  </r>
  <r>
    <x v="93"/>
    <x v="1"/>
    <n v="1.3"/>
    <n v="223"/>
    <n v="48"/>
    <x v="90"/>
    <n v="4.8"/>
    <x v="2"/>
    <x v="1"/>
    <x v="0"/>
  </r>
  <r>
    <x v="94"/>
    <x v="2"/>
    <n v="5"/>
    <n v="372"/>
    <n v="20"/>
    <x v="91"/>
    <n v="8.3000000000000007"/>
    <x v="2"/>
    <x v="0"/>
    <x v="2"/>
  </r>
  <r>
    <x v="95"/>
    <x v="5"/>
    <n v="3.1"/>
    <n v="290"/>
    <n v="39"/>
    <x v="92"/>
    <n v="3.3"/>
    <x v="0"/>
    <x v="1"/>
    <x v="2"/>
  </r>
  <r>
    <x v="96"/>
    <x v="4"/>
    <n v="2.9"/>
    <n v="254"/>
    <n v="90"/>
    <x v="93"/>
    <n v="9.5"/>
    <x v="1"/>
    <x v="0"/>
    <x v="2"/>
  </r>
  <r>
    <x v="97"/>
    <x v="3"/>
    <n v="2.5"/>
    <n v="131"/>
    <n v="52"/>
    <x v="94"/>
    <n v="7.5"/>
    <x v="1"/>
    <x v="2"/>
    <x v="1"/>
  </r>
  <r>
    <x v="98"/>
    <x v="2"/>
    <n v="4.5999999999999996"/>
    <n v="460"/>
    <n v="63"/>
    <x v="95"/>
    <n v="4"/>
    <x v="1"/>
    <x v="1"/>
    <x v="1"/>
  </r>
  <r>
    <x v="99"/>
    <x v="1"/>
    <n v="4.9000000000000004"/>
    <n v="271"/>
    <n v="59"/>
    <x v="96"/>
    <n v="8.3000000000000007"/>
    <x v="1"/>
    <x v="0"/>
    <x v="1"/>
  </r>
  <r>
    <x v="100"/>
    <x v="5"/>
    <n v="2.5"/>
    <n v="216"/>
    <n v="50"/>
    <x v="97"/>
    <n v="7"/>
    <x v="1"/>
    <x v="2"/>
    <x v="2"/>
  </r>
  <r>
    <x v="101"/>
    <x v="3"/>
    <n v="3.5"/>
    <n v="337"/>
    <n v="58"/>
    <x v="98"/>
    <n v="5.3"/>
    <x v="0"/>
    <x v="0"/>
    <x v="0"/>
  </r>
  <r>
    <x v="102"/>
    <x v="2"/>
    <n v="3.6"/>
    <n v="319"/>
    <n v="78"/>
    <x v="99"/>
    <n v="7.5"/>
    <x v="2"/>
    <x v="1"/>
    <x v="2"/>
  </r>
  <r>
    <x v="103"/>
    <x v="2"/>
    <n v="4.4000000000000004"/>
    <n v="377"/>
    <n v="87"/>
    <x v="100"/>
    <n v="7.8"/>
    <x v="1"/>
    <x v="0"/>
    <x v="2"/>
  </r>
  <r>
    <x v="104"/>
    <x v="0"/>
    <n v="3.2"/>
    <n v="271"/>
    <n v="51"/>
    <x v="101"/>
    <n v="9.1999999999999993"/>
    <x v="2"/>
    <x v="0"/>
    <x v="1"/>
  </r>
  <r>
    <x v="105"/>
    <x v="0"/>
    <n v="1.9"/>
    <n v="271"/>
    <n v="55"/>
    <x v="102"/>
    <n v="9.8000000000000007"/>
    <x v="1"/>
    <x v="1"/>
    <x v="1"/>
  </r>
  <r>
    <x v="106"/>
    <x v="4"/>
    <n v="3.3"/>
    <n v="229"/>
    <n v="74"/>
    <x v="103"/>
    <n v="7.1"/>
    <x v="2"/>
    <x v="1"/>
    <x v="2"/>
  </r>
  <r>
    <x v="107"/>
    <x v="2"/>
    <n v="3.7"/>
    <n v="477"/>
    <n v="72"/>
    <x v="104"/>
    <n v="3.4"/>
    <x v="2"/>
    <x v="2"/>
    <x v="0"/>
  </r>
  <r>
    <x v="108"/>
    <x v="1"/>
    <n v="4.5"/>
    <n v="421"/>
    <n v="19"/>
    <x v="105"/>
    <n v="7.4"/>
    <x v="2"/>
    <x v="0"/>
    <x v="0"/>
  </r>
  <r>
    <x v="109"/>
    <x v="1"/>
    <n v="3"/>
    <n v="442"/>
    <n v="27"/>
    <x v="106"/>
    <n v="6.3"/>
    <x v="0"/>
    <x v="2"/>
    <x v="2"/>
  </r>
  <r>
    <x v="110"/>
    <x v="6"/>
    <n v="4.7"/>
    <n v="340"/>
    <n v="66"/>
    <x v="107"/>
    <n v="7.5"/>
    <x v="2"/>
    <x v="1"/>
    <x v="0"/>
  </r>
  <r>
    <x v="111"/>
    <x v="2"/>
    <n v="4.9000000000000004"/>
    <n v="366"/>
    <n v="18"/>
    <x v="108"/>
    <n v="6.2"/>
    <x v="0"/>
    <x v="0"/>
    <x v="1"/>
  </r>
  <r>
    <x v="112"/>
    <x v="1"/>
    <n v="1.4"/>
    <n v="160"/>
    <n v="54"/>
    <x v="109"/>
    <n v="9.3000000000000007"/>
    <x v="2"/>
    <x v="2"/>
    <x v="2"/>
  </r>
  <r>
    <x v="113"/>
    <x v="6"/>
    <n v="4.5999999999999996"/>
    <n v="332"/>
    <n v="87"/>
    <x v="110"/>
    <n v="5.3"/>
    <x v="0"/>
    <x v="0"/>
    <x v="2"/>
  </r>
  <r>
    <x v="114"/>
    <x v="2"/>
    <n v="3.1"/>
    <n v="397"/>
    <n v="30"/>
    <x v="111"/>
    <n v="8.9"/>
    <x v="1"/>
    <x v="0"/>
    <x v="1"/>
  </r>
  <r>
    <x v="115"/>
    <x v="0"/>
    <n v="1.3"/>
    <n v="377"/>
    <n v="46"/>
    <x v="112"/>
    <n v="6.4"/>
    <x v="0"/>
    <x v="0"/>
    <x v="2"/>
  </r>
  <r>
    <x v="116"/>
    <x v="1"/>
    <n v="1.9"/>
    <n v="428"/>
    <n v="39"/>
    <x v="113"/>
    <n v="6.1"/>
    <x v="0"/>
    <x v="2"/>
    <x v="0"/>
  </r>
  <r>
    <x v="117"/>
    <x v="2"/>
    <n v="2.1"/>
    <n v="370"/>
    <n v="109"/>
    <x v="114"/>
    <n v="5.4"/>
    <x v="1"/>
    <x v="0"/>
    <x v="2"/>
  </r>
  <r>
    <x v="118"/>
    <x v="4"/>
    <n v="2.2000000000000002"/>
    <n v="253"/>
    <n v="26"/>
    <x v="115"/>
    <n v="3.6"/>
    <x v="2"/>
    <x v="2"/>
    <x v="2"/>
  </r>
  <r>
    <x v="119"/>
    <x v="3"/>
    <n v="1.4"/>
    <n v="498"/>
    <n v="87"/>
    <x v="8"/>
    <n v="7.4"/>
    <x v="1"/>
    <x v="1"/>
    <x v="2"/>
  </r>
  <r>
    <x v="120"/>
    <x v="5"/>
    <n v="1.7"/>
    <n v="480"/>
    <n v="48"/>
    <x v="116"/>
    <n v="4.3"/>
    <x v="1"/>
    <x v="0"/>
    <x v="1"/>
  </r>
  <r>
    <x v="121"/>
    <x v="0"/>
    <n v="2.2999999999999998"/>
    <n v="480"/>
    <n v="116"/>
    <x v="117"/>
    <n v="3.1"/>
    <x v="1"/>
    <x v="1"/>
    <x v="2"/>
  </r>
  <r>
    <x v="122"/>
    <x v="0"/>
    <n v="3.6"/>
    <n v="500"/>
    <n v="106"/>
    <x v="118"/>
    <n v="9.1999999999999993"/>
    <x v="2"/>
    <x v="0"/>
    <x v="0"/>
  </r>
  <r>
    <x v="123"/>
    <x v="3"/>
    <n v="4.4000000000000004"/>
    <n v="242"/>
    <n v="79"/>
    <x v="119"/>
    <n v="6"/>
    <x v="1"/>
    <x v="0"/>
    <x v="0"/>
  </r>
  <r>
    <x v="124"/>
    <x v="3"/>
    <n v="1.3"/>
    <n v="436"/>
    <n v="52"/>
    <x v="120"/>
    <n v="5.4"/>
    <x v="1"/>
    <x v="2"/>
    <x v="0"/>
  </r>
  <r>
    <x v="125"/>
    <x v="3"/>
    <n v="1.3"/>
    <n v="183"/>
    <n v="113"/>
    <x v="12"/>
    <n v="8.6999999999999993"/>
    <x v="0"/>
    <x v="1"/>
    <x v="2"/>
  </r>
  <r>
    <x v="126"/>
    <x v="0"/>
    <n v="1.5"/>
    <n v="380"/>
    <n v="109"/>
    <x v="121"/>
    <n v="3.4"/>
    <x v="1"/>
    <x v="1"/>
    <x v="1"/>
  </r>
  <r>
    <x v="127"/>
    <x v="5"/>
    <n v="2.7"/>
    <n v="464"/>
    <n v="57"/>
    <x v="122"/>
    <n v="6.7"/>
    <x v="1"/>
    <x v="1"/>
    <x v="0"/>
  </r>
  <r>
    <x v="128"/>
    <x v="1"/>
    <n v="4.2"/>
    <n v="149"/>
    <n v="46"/>
    <x v="123"/>
    <n v="9.3000000000000007"/>
    <x v="0"/>
    <x v="1"/>
    <x v="1"/>
  </r>
  <r>
    <x v="129"/>
    <x v="6"/>
    <n v="1.9"/>
    <n v="329"/>
    <n v="88"/>
    <x v="124"/>
    <n v="4.8"/>
    <x v="0"/>
    <x v="0"/>
    <x v="0"/>
  </r>
  <r>
    <x v="130"/>
    <x v="6"/>
    <n v="4.9000000000000004"/>
    <n v="461"/>
    <n v="52"/>
    <x v="125"/>
    <n v="4.5999999999999996"/>
    <x v="1"/>
    <x v="1"/>
    <x v="2"/>
  </r>
  <r>
    <x v="131"/>
    <x v="6"/>
    <n v="3.5"/>
    <n v="189"/>
    <n v="54"/>
    <x v="126"/>
    <n v="6.3"/>
    <x v="2"/>
    <x v="2"/>
    <x v="0"/>
  </r>
  <r>
    <x v="132"/>
    <x v="3"/>
    <n v="2.4"/>
    <n v="452"/>
    <n v="84"/>
    <x v="127"/>
    <n v="7.8"/>
    <x v="1"/>
    <x v="2"/>
    <x v="0"/>
  </r>
  <r>
    <x v="133"/>
    <x v="0"/>
    <n v="2.5"/>
    <n v="212"/>
    <n v="68"/>
    <x v="128"/>
    <n v="6.3"/>
    <x v="2"/>
    <x v="2"/>
    <x v="1"/>
  </r>
  <r>
    <x v="134"/>
    <x v="1"/>
    <n v="3.6"/>
    <n v="390"/>
    <n v="23"/>
    <x v="129"/>
    <n v="5"/>
    <x v="2"/>
    <x v="1"/>
    <x v="1"/>
  </r>
  <r>
    <x v="135"/>
    <x v="5"/>
    <n v="1.9"/>
    <n v="214"/>
    <n v="94"/>
    <x v="130"/>
    <n v="5.2"/>
    <x v="0"/>
    <x v="2"/>
    <x v="0"/>
  </r>
  <r>
    <x v="136"/>
    <x v="2"/>
    <n v="2.4"/>
    <n v="445"/>
    <n v="96"/>
    <x v="131"/>
    <n v="6.6"/>
    <x v="0"/>
    <x v="0"/>
    <x v="0"/>
  </r>
  <r>
    <x v="137"/>
    <x v="4"/>
    <n v="2.5"/>
    <n v="320"/>
    <n v="39"/>
    <x v="86"/>
    <n v="3.6"/>
    <x v="0"/>
    <x v="1"/>
    <x v="2"/>
  </r>
  <r>
    <x v="138"/>
    <x v="1"/>
    <n v="2.8"/>
    <n v="427"/>
    <n v="21"/>
    <x v="132"/>
    <n v="5.8"/>
    <x v="0"/>
    <x v="0"/>
    <x v="0"/>
  </r>
  <r>
    <x v="139"/>
    <x v="2"/>
    <n v="2.8"/>
    <n v="173"/>
    <n v="40"/>
    <x v="133"/>
    <n v="8.1"/>
    <x v="1"/>
    <x v="2"/>
    <x v="2"/>
  </r>
  <r>
    <x v="140"/>
    <x v="1"/>
    <n v="2.5"/>
    <n v="282"/>
    <n v="96"/>
    <x v="134"/>
    <n v="7.5"/>
    <x v="0"/>
    <x v="0"/>
    <x v="2"/>
  </r>
  <r>
    <x v="141"/>
    <x v="2"/>
    <n v="1.4"/>
    <n v="412"/>
    <n v="61"/>
    <x v="135"/>
    <n v="3.9"/>
    <x v="2"/>
    <x v="1"/>
    <x v="2"/>
  </r>
  <r>
    <x v="142"/>
    <x v="5"/>
    <n v="1.1000000000000001"/>
    <n v="228"/>
    <n v="98"/>
    <x v="136"/>
    <n v="3.8"/>
    <x v="0"/>
    <x v="0"/>
    <x v="2"/>
  </r>
  <r>
    <x v="143"/>
    <x v="0"/>
    <n v="3.7"/>
    <n v="250"/>
    <n v="37"/>
    <x v="137"/>
    <n v="7.5"/>
    <x v="1"/>
    <x v="1"/>
    <x v="1"/>
  </r>
  <r>
    <x v="144"/>
    <x v="1"/>
    <n v="3.1"/>
    <n v="352"/>
    <n v="91"/>
    <x v="10"/>
    <n v="9.4"/>
    <x v="0"/>
    <x v="0"/>
    <x v="1"/>
  </r>
  <r>
    <x v="145"/>
    <x v="5"/>
    <n v="2.4"/>
    <n v="204"/>
    <n v="53"/>
    <x v="138"/>
    <n v="5.9"/>
    <x v="0"/>
    <x v="0"/>
    <x v="1"/>
  </r>
  <r>
    <x v="146"/>
    <x v="0"/>
    <n v="3.1"/>
    <n v="173"/>
    <n v="114"/>
    <x v="139"/>
    <n v="9"/>
    <x v="1"/>
    <x v="0"/>
    <x v="2"/>
  </r>
  <r>
    <x v="147"/>
    <x v="3"/>
    <n v="2.2999999999999998"/>
    <n v="240"/>
    <n v="87"/>
    <x v="140"/>
    <n v="8.6999999999999993"/>
    <x v="2"/>
    <x v="0"/>
    <x v="1"/>
  </r>
  <r>
    <x v="148"/>
    <x v="6"/>
    <n v="4.7"/>
    <n v="351"/>
    <n v="31"/>
    <x v="141"/>
    <n v="6.1"/>
    <x v="0"/>
    <x v="0"/>
    <x v="1"/>
  </r>
  <r>
    <x v="149"/>
    <x v="1"/>
    <n v="3.7"/>
    <n v="340"/>
    <n v="45"/>
    <x v="142"/>
    <n v="6.1"/>
    <x v="0"/>
    <x v="2"/>
    <x v="2"/>
  </r>
  <r>
    <x v="150"/>
    <x v="5"/>
    <n v="1.9"/>
    <n v="402"/>
    <n v="36"/>
    <x v="143"/>
    <n v="3.8"/>
    <x v="2"/>
    <x v="1"/>
    <x v="2"/>
  </r>
  <r>
    <x v="151"/>
    <x v="2"/>
    <n v="1.8"/>
    <n v="267"/>
    <n v="39"/>
    <x v="144"/>
    <n v="3.1"/>
    <x v="2"/>
    <x v="0"/>
    <x v="1"/>
  </r>
  <r>
    <x v="152"/>
    <x v="2"/>
    <n v="3.7"/>
    <n v="362"/>
    <n v="33"/>
    <x v="145"/>
    <n v="7.1"/>
    <x v="1"/>
    <x v="2"/>
    <x v="0"/>
  </r>
  <r>
    <x v="153"/>
    <x v="3"/>
    <n v="2.6"/>
    <n v="201"/>
    <n v="79"/>
    <x v="146"/>
    <n v="7.8"/>
    <x v="0"/>
    <x v="2"/>
    <x v="0"/>
  </r>
  <r>
    <x v="154"/>
    <x v="2"/>
    <n v="1.1000000000000001"/>
    <n v="483"/>
    <n v="26"/>
    <x v="147"/>
    <n v="8.3000000000000007"/>
    <x v="1"/>
    <x v="0"/>
    <x v="1"/>
  </r>
  <r>
    <x v="155"/>
    <x v="1"/>
    <n v="2.2999999999999998"/>
    <n v="438"/>
    <n v="41"/>
    <x v="148"/>
    <n v="8.6999999999999993"/>
    <x v="0"/>
    <x v="0"/>
    <x v="1"/>
  </r>
  <r>
    <x v="156"/>
    <x v="1"/>
    <n v="1.5"/>
    <n v="368"/>
    <n v="56"/>
    <x v="149"/>
    <n v="9.5"/>
    <x v="0"/>
    <x v="2"/>
    <x v="0"/>
  </r>
  <r>
    <x v="157"/>
    <x v="3"/>
    <n v="3"/>
    <n v="302"/>
    <n v="77"/>
    <x v="150"/>
    <n v="5.2"/>
    <x v="1"/>
    <x v="2"/>
    <x v="2"/>
  </r>
  <r>
    <x v="158"/>
    <x v="5"/>
    <n v="2.7"/>
    <n v="239"/>
    <n v="34"/>
    <x v="151"/>
    <n v="3.4"/>
    <x v="2"/>
    <x v="1"/>
    <x v="1"/>
  </r>
  <r>
    <x v="159"/>
    <x v="4"/>
    <n v="3.4"/>
    <n v="325"/>
    <n v="64"/>
    <x v="25"/>
    <n v="3"/>
    <x v="1"/>
    <x v="2"/>
    <x v="2"/>
  </r>
  <r>
    <x v="160"/>
    <x v="6"/>
    <n v="2.4"/>
    <n v="401"/>
    <n v="92"/>
    <x v="152"/>
    <n v="7.7"/>
    <x v="2"/>
    <x v="2"/>
    <x v="2"/>
  </r>
  <r>
    <x v="161"/>
    <x v="5"/>
    <n v="3.7"/>
    <n v="114"/>
    <n v="112"/>
    <x v="153"/>
    <n v="9"/>
    <x v="2"/>
    <x v="1"/>
    <x v="2"/>
  </r>
  <r>
    <x v="162"/>
    <x v="0"/>
    <n v="3"/>
    <n v="200"/>
    <n v="116"/>
    <x v="154"/>
    <n v="9.6999999999999993"/>
    <x v="1"/>
    <x v="0"/>
    <x v="2"/>
  </r>
  <r>
    <x v="163"/>
    <x v="2"/>
    <n v="3.9"/>
    <n v="117"/>
    <n v="41"/>
    <x v="155"/>
    <n v="9.8000000000000007"/>
    <x v="1"/>
    <x v="0"/>
    <x v="2"/>
  </r>
  <r>
    <x v="164"/>
    <x v="1"/>
    <n v="4.3"/>
    <n v="309"/>
    <n v="28"/>
    <x v="140"/>
    <n v="9.9"/>
    <x v="1"/>
    <x v="1"/>
    <x v="1"/>
  </r>
  <r>
    <x v="165"/>
    <x v="6"/>
    <n v="2.5"/>
    <n v="431"/>
    <n v="88"/>
    <x v="156"/>
    <n v="5.0999999999999996"/>
    <x v="0"/>
    <x v="1"/>
    <x v="0"/>
  </r>
  <r>
    <x v="166"/>
    <x v="1"/>
    <n v="2.7"/>
    <n v="497"/>
    <n v="34"/>
    <x v="157"/>
    <n v="5.4"/>
    <x v="1"/>
    <x v="0"/>
    <x v="1"/>
  </r>
  <r>
    <x v="167"/>
    <x v="4"/>
    <n v="2.2999999999999998"/>
    <n v="334"/>
    <n v="18"/>
    <x v="158"/>
    <n v="9.8000000000000007"/>
    <x v="1"/>
    <x v="2"/>
    <x v="2"/>
  </r>
  <r>
    <x v="168"/>
    <x v="4"/>
    <n v="3.6"/>
    <n v="498"/>
    <n v="67"/>
    <x v="159"/>
    <n v="7.2"/>
    <x v="0"/>
    <x v="0"/>
    <x v="0"/>
  </r>
  <r>
    <x v="169"/>
    <x v="3"/>
    <n v="2.8"/>
    <n v="336"/>
    <n v="112"/>
    <x v="160"/>
    <n v="10"/>
    <x v="2"/>
    <x v="1"/>
    <x v="2"/>
  </r>
  <r>
    <x v="170"/>
    <x v="1"/>
    <n v="2.4"/>
    <n v="485"/>
    <n v="99"/>
    <x v="161"/>
    <n v="9.1999999999999993"/>
    <x v="0"/>
    <x v="2"/>
    <x v="2"/>
  </r>
  <r>
    <x v="171"/>
    <x v="6"/>
    <n v="4.8"/>
    <n v="221"/>
    <n v="27"/>
    <x v="162"/>
    <n v="5.7"/>
    <x v="0"/>
    <x v="0"/>
    <x v="0"/>
  </r>
  <r>
    <x v="172"/>
    <x v="5"/>
    <n v="2.1"/>
    <n v="263"/>
    <n v="104"/>
    <x v="163"/>
    <n v="8.9"/>
    <x v="2"/>
    <x v="1"/>
    <x v="0"/>
  </r>
  <r>
    <x v="173"/>
    <x v="1"/>
    <n v="3.4"/>
    <n v="175"/>
    <n v="111"/>
    <x v="164"/>
    <n v="6.5"/>
    <x v="2"/>
    <x v="0"/>
    <x v="1"/>
  </r>
  <r>
    <x v="174"/>
    <x v="0"/>
    <n v="4.3"/>
    <n v="229"/>
    <n v="33"/>
    <x v="165"/>
    <n v="7.5"/>
    <x v="1"/>
    <x v="0"/>
    <x v="2"/>
  </r>
  <r>
    <x v="175"/>
    <x v="2"/>
    <n v="4.2"/>
    <n v="195"/>
    <n v="39"/>
    <x v="166"/>
    <n v="3.1"/>
    <x v="2"/>
    <x v="0"/>
    <x v="0"/>
  </r>
  <r>
    <x v="176"/>
    <x v="3"/>
    <n v="3.9"/>
    <n v="445"/>
    <n v="66"/>
    <x v="167"/>
    <n v="6.4"/>
    <x v="1"/>
    <x v="1"/>
    <x v="2"/>
  </r>
  <r>
    <x v="177"/>
    <x v="4"/>
    <n v="2.8"/>
    <n v="210"/>
    <n v="101"/>
    <x v="168"/>
    <n v="9.9"/>
    <x v="1"/>
    <x v="2"/>
    <x v="0"/>
  </r>
  <r>
    <x v="178"/>
    <x v="3"/>
    <n v="2.2999999999999998"/>
    <n v="323"/>
    <n v="89"/>
    <x v="169"/>
    <n v="9"/>
    <x v="2"/>
    <x v="2"/>
    <x v="1"/>
  </r>
  <r>
    <x v="179"/>
    <x v="1"/>
    <n v="3.2"/>
    <n v="364"/>
    <n v="70"/>
    <x v="170"/>
    <n v="6.2"/>
    <x v="2"/>
    <x v="2"/>
    <x v="2"/>
  </r>
  <r>
    <x v="180"/>
    <x v="5"/>
    <n v="4.2"/>
    <n v="246"/>
    <n v="62"/>
    <x v="171"/>
    <n v="7.1"/>
    <x v="1"/>
    <x v="2"/>
    <x v="2"/>
  </r>
  <r>
    <x v="181"/>
    <x v="2"/>
    <n v="4.5999999999999996"/>
    <n v="171"/>
    <n v="71"/>
    <x v="172"/>
    <n v="7.4"/>
    <x v="1"/>
    <x v="2"/>
    <x v="1"/>
  </r>
  <r>
    <x v="182"/>
    <x v="3"/>
    <n v="1.7"/>
    <n v="469"/>
    <n v="109"/>
    <x v="173"/>
    <n v="3.9"/>
    <x v="0"/>
    <x v="1"/>
    <x v="0"/>
  </r>
  <r>
    <x v="183"/>
    <x v="6"/>
    <n v="3"/>
    <n v="274"/>
    <n v="60"/>
    <x v="174"/>
    <n v="8.3000000000000007"/>
    <x v="0"/>
    <x v="1"/>
    <x v="2"/>
  </r>
  <r>
    <x v="184"/>
    <x v="3"/>
    <n v="3.7"/>
    <n v="171"/>
    <n v="75"/>
    <x v="175"/>
    <n v="5.0999999999999996"/>
    <x v="2"/>
    <x v="0"/>
    <x v="2"/>
  </r>
  <r>
    <x v="185"/>
    <x v="5"/>
    <n v="4.4000000000000004"/>
    <n v="437"/>
    <n v="78"/>
    <x v="176"/>
    <n v="5.9"/>
    <x v="2"/>
    <x v="2"/>
    <x v="0"/>
  </r>
  <r>
    <x v="186"/>
    <x v="2"/>
    <n v="4.7"/>
    <n v="372"/>
    <n v="15"/>
    <x v="177"/>
    <n v="4.2"/>
    <x v="2"/>
    <x v="2"/>
    <x v="1"/>
  </r>
  <r>
    <x v="187"/>
    <x v="5"/>
    <n v="2.9"/>
    <n v="409"/>
    <n v="69"/>
    <x v="178"/>
    <n v="6.5"/>
    <x v="0"/>
    <x v="2"/>
    <x v="1"/>
  </r>
  <r>
    <x v="188"/>
    <x v="2"/>
    <n v="1.3"/>
    <n v="310"/>
    <n v="93"/>
    <x v="179"/>
    <n v="6.2"/>
    <x v="0"/>
    <x v="2"/>
    <x v="2"/>
  </r>
  <r>
    <x v="189"/>
    <x v="5"/>
    <n v="4.5999999999999996"/>
    <n v="111"/>
    <n v="109"/>
    <x v="180"/>
    <n v="4.2"/>
    <x v="0"/>
    <x v="2"/>
    <x v="1"/>
  </r>
  <r>
    <x v="190"/>
    <x v="2"/>
    <n v="2.2999999999999998"/>
    <n v="454"/>
    <n v="108"/>
    <x v="181"/>
    <n v="7"/>
    <x v="1"/>
    <x v="1"/>
    <x v="0"/>
  </r>
  <r>
    <x v="191"/>
    <x v="4"/>
    <n v="4.9000000000000004"/>
    <n v="266"/>
    <n v="107"/>
    <x v="182"/>
    <n v="3.4"/>
    <x v="2"/>
    <x v="1"/>
    <x v="2"/>
  </r>
  <r>
    <x v="192"/>
    <x v="0"/>
    <n v="4.2"/>
    <n v="318"/>
    <n v="60"/>
    <x v="183"/>
    <n v="4.0999999999999996"/>
    <x v="1"/>
    <x v="1"/>
    <x v="0"/>
  </r>
  <r>
    <x v="193"/>
    <x v="1"/>
    <n v="4.2"/>
    <n v="180"/>
    <n v="21"/>
    <x v="184"/>
    <n v="6.7"/>
    <x v="2"/>
    <x v="0"/>
    <x v="1"/>
  </r>
  <r>
    <x v="194"/>
    <x v="2"/>
    <n v="4.2"/>
    <n v="263"/>
    <n v="48"/>
    <x v="185"/>
    <n v="5.9"/>
    <x v="2"/>
    <x v="0"/>
    <x v="0"/>
  </r>
  <r>
    <x v="195"/>
    <x v="0"/>
    <n v="1.5"/>
    <n v="148"/>
    <n v="52"/>
    <x v="186"/>
    <n v="8.8000000000000007"/>
    <x v="1"/>
    <x v="2"/>
    <x v="1"/>
  </r>
  <r>
    <x v="196"/>
    <x v="2"/>
    <n v="2.9"/>
    <n v="472"/>
    <n v="53"/>
    <x v="163"/>
    <n v="3.2"/>
    <x v="2"/>
    <x v="0"/>
    <x v="1"/>
  </r>
  <r>
    <x v="197"/>
    <x v="1"/>
    <n v="3.6"/>
    <n v="435"/>
    <n v="65"/>
    <x v="187"/>
    <n v="10"/>
    <x v="2"/>
    <x v="2"/>
    <x v="0"/>
  </r>
  <r>
    <x v="198"/>
    <x v="3"/>
    <n v="4.5"/>
    <n v="454"/>
    <n v="58"/>
    <x v="188"/>
    <n v="7.9"/>
    <x v="2"/>
    <x v="2"/>
    <x v="1"/>
  </r>
  <r>
    <x v="199"/>
    <x v="6"/>
    <n v="2.5"/>
    <n v="370"/>
    <n v="25"/>
    <x v="79"/>
    <n v="7.6"/>
    <x v="2"/>
    <x v="1"/>
    <x v="1"/>
  </r>
  <r>
    <x v="200"/>
    <x v="3"/>
    <n v="3.4"/>
    <n v="294"/>
    <n v="97"/>
    <x v="189"/>
    <n v="6.4"/>
    <x v="2"/>
    <x v="2"/>
    <x v="2"/>
  </r>
  <r>
    <x v="201"/>
    <x v="3"/>
    <n v="2.5"/>
    <n v="193"/>
    <n v="117"/>
    <x v="190"/>
    <n v="9.6999999999999993"/>
    <x v="0"/>
    <x v="1"/>
    <x v="0"/>
  </r>
  <r>
    <x v="202"/>
    <x v="0"/>
    <n v="3.8"/>
    <n v="228"/>
    <n v="60"/>
    <x v="191"/>
    <n v="6.7"/>
    <x v="2"/>
    <x v="2"/>
    <x v="2"/>
  </r>
  <r>
    <x v="203"/>
    <x v="2"/>
    <n v="4.5"/>
    <n v="450"/>
    <n v="106"/>
    <x v="192"/>
    <n v="6"/>
    <x v="1"/>
    <x v="0"/>
    <x v="0"/>
  </r>
  <r>
    <x v="204"/>
    <x v="3"/>
    <n v="4.7"/>
    <n v="145"/>
    <n v="107"/>
    <x v="193"/>
    <n v="8.8000000000000007"/>
    <x v="1"/>
    <x v="2"/>
    <x v="1"/>
  </r>
  <r>
    <x v="205"/>
    <x v="6"/>
    <n v="4.0999999999999996"/>
    <n v="491"/>
    <n v="34"/>
    <x v="194"/>
    <n v="5.3"/>
    <x v="2"/>
    <x v="0"/>
    <x v="1"/>
  </r>
  <r>
    <x v="206"/>
    <x v="2"/>
    <n v="1.3"/>
    <n v="488"/>
    <n v="28"/>
    <x v="195"/>
    <n v="6.2"/>
    <x v="0"/>
    <x v="0"/>
    <x v="0"/>
  </r>
  <r>
    <x v="207"/>
    <x v="6"/>
    <n v="3"/>
    <n v="372"/>
    <n v="78"/>
    <x v="196"/>
    <n v="9.1999999999999993"/>
    <x v="1"/>
    <x v="0"/>
    <x v="1"/>
  </r>
  <r>
    <x v="208"/>
    <x v="5"/>
    <n v="4.4000000000000004"/>
    <n v="340"/>
    <n v="78"/>
    <x v="197"/>
    <n v="9.1999999999999993"/>
    <x v="1"/>
    <x v="1"/>
    <x v="2"/>
  </r>
  <r>
    <x v="209"/>
    <x v="5"/>
    <n v="3.5"/>
    <n v="387"/>
    <n v="48"/>
    <x v="198"/>
    <n v="9.5"/>
    <x v="0"/>
    <x v="0"/>
    <x v="1"/>
  </r>
  <r>
    <x v="210"/>
    <x v="0"/>
    <n v="4.7"/>
    <n v="482"/>
    <n v="60"/>
    <x v="199"/>
    <n v="8.3000000000000007"/>
    <x v="2"/>
    <x v="0"/>
    <x v="1"/>
  </r>
  <r>
    <x v="211"/>
    <x v="0"/>
    <n v="4.5999999999999996"/>
    <n v="262"/>
    <n v="78"/>
    <x v="200"/>
    <n v="7.4"/>
    <x v="1"/>
    <x v="0"/>
    <x v="1"/>
  </r>
  <r>
    <x v="212"/>
    <x v="0"/>
    <n v="1.9"/>
    <n v="263"/>
    <n v="93"/>
    <x v="201"/>
    <n v="6.5"/>
    <x v="1"/>
    <x v="2"/>
    <x v="1"/>
  </r>
  <r>
    <x v="213"/>
    <x v="5"/>
    <n v="3.5"/>
    <n v="369"/>
    <n v="52"/>
    <x v="202"/>
    <n v="8.3000000000000007"/>
    <x v="1"/>
    <x v="2"/>
    <x v="2"/>
  </r>
  <r>
    <x v="214"/>
    <x v="3"/>
    <n v="1.4"/>
    <n v="272"/>
    <n v="75"/>
    <x v="203"/>
    <n v="10"/>
    <x v="0"/>
    <x v="1"/>
    <x v="1"/>
  </r>
  <r>
    <x v="215"/>
    <x v="1"/>
    <n v="3"/>
    <n v="450"/>
    <n v="63"/>
    <x v="204"/>
    <n v="8.8000000000000007"/>
    <x v="0"/>
    <x v="1"/>
    <x v="1"/>
  </r>
  <r>
    <x v="216"/>
    <x v="4"/>
    <n v="3.9"/>
    <n v="489"/>
    <n v="83"/>
    <x v="205"/>
    <n v="3.6"/>
    <x v="1"/>
    <x v="0"/>
    <x v="0"/>
  </r>
  <r>
    <x v="217"/>
    <x v="5"/>
    <n v="4.2"/>
    <n v="199"/>
    <n v="96"/>
    <x v="206"/>
    <n v="9.4"/>
    <x v="0"/>
    <x v="1"/>
    <x v="0"/>
  </r>
  <r>
    <x v="218"/>
    <x v="3"/>
    <n v="1.7"/>
    <n v="341"/>
    <n v="49"/>
    <x v="207"/>
    <n v="3.1"/>
    <x v="2"/>
    <x v="1"/>
    <x v="2"/>
  </r>
  <r>
    <x v="219"/>
    <x v="5"/>
    <n v="4"/>
    <n v="211"/>
    <n v="49"/>
    <x v="208"/>
    <n v="8"/>
    <x v="0"/>
    <x v="2"/>
    <x v="1"/>
  </r>
  <r>
    <x v="220"/>
    <x v="5"/>
    <n v="2.2000000000000002"/>
    <n v="428"/>
    <n v="75"/>
    <x v="209"/>
    <n v="4.0999999999999996"/>
    <x v="1"/>
    <x v="2"/>
    <x v="2"/>
  </r>
  <r>
    <x v="221"/>
    <x v="0"/>
    <n v="4.4000000000000004"/>
    <n v="465"/>
    <n v="88"/>
    <x v="210"/>
    <n v="9.5"/>
    <x v="0"/>
    <x v="1"/>
    <x v="0"/>
  </r>
  <r>
    <x v="222"/>
    <x v="4"/>
    <n v="3.4"/>
    <n v="102"/>
    <n v="91"/>
    <x v="169"/>
    <n v="5"/>
    <x v="2"/>
    <x v="2"/>
    <x v="0"/>
  </r>
  <r>
    <x v="223"/>
    <x v="3"/>
    <n v="4.9000000000000004"/>
    <n v="166"/>
    <n v="21"/>
    <x v="211"/>
    <n v="3.6"/>
    <x v="2"/>
    <x v="2"/>
    <x v="0"/>
  </r>
  <r>
    <x v="224"/>
    <x v="4"/>
    <n v="4.7"/>
    <n v="347"/>
    <n v="33"/>
    <x v="212"/>
    <n v="8.1"/>
    <x v="0"/>
    <x v="2"/>
    <x v="2"/>
  </r>
  <r>
    <x v="225"/>
    <x v="6"/>
    <n v="1.7"/>
    <n v="234"/>
    <n v="100"/>
    <x v="213"/>
    <n v="9.1"/>
    <x v="0"/>
    <x v="1"/>
    <x v="2"/>
  </r>
  <r>
    <x v="226"/>
    <x v="4"/>
    <n v="3.3"/>
    <n v="204"/>
    <n v="78"/>
    <x v="51"/>
    <n v="7.3"/>
    <x v="2"/>
    <x v="1"/>
    <x v="0"/>
  </r>
  <r>
    <x v="227"/>
    <x v="0"/>
    <n v="2.6"/>
    <n v="137"/>
    <n v="107"/>
    <x v="214"/>
    <n v="8.6"/>
    <x v="1"/>
    <x v="2"/>
    <x v="2"/>
  </r>
  <r>
    <x v="228"/>
    <x v="0"/>
    <n v="2.1"/>
    <n v="268"/>
    <n v="57"/>
    <x v="215"/>
    <n v="4.9000000000000004"/>
    <x v="0"/>
    <x v="0"/>
    <x v="0"/>
  </r>
  <r>
    <x v="229"/>
    <x v="4"/>
    <n v="2.7"/>
    <n v="320"/>
    <n v="24"/>
    <x v="216"/>
    <n v="6.1"/>
    <x v="2"/>
    <x v="0"/>
    <x v="2"/>
  </r>
  <r>
    <x v="230"/>
    <x v="0"/>
    <n v="3"/>
    <n v="123"/>
    <n v="119"/>
    <x v="217"/>
    <n v="8.3000000000000007"/>
    <x v="2"/>
    <x v="2"/>
    <x v="1"/>
  </r>
  <r>
    <x v="231"/>
    <x v="2"/>
    <n v="3.7"/>
    <n v="394"/>
    <n v="30"/>
    <x v="218"/>
    <n v="6.8"/>
    <x v="2"/>
    <x v="1"/>
    <x v="1"/>
  </r>
  <r>
    <x v="232"/>
    <x v="4"/>
    <n v="3.2"/>
    <n v="117"/>
    <n v="25"/>
    <x v="219"/>
    <n v="3.5"/>
    <x v="2"/>
    <x v="1"/>
    <x v="2"/>
  </r>
  <r>
    <x v="233"/>
    <x v="0"/>
    <n v="3.2"/>
    <n v="300"/>
    <n v="49"/>
    <x v="220"/>
    <n v="8.6"/>
    <x v="2"/>
    <x v="1"/>
    <x v="0"/>
  </r>
  <r>
    <x v="234"/>
    <x v="1"/>
    <n v="3.9"/>
    <n v="281"/>
    <n v="54"/>
    <x v="221"/>
    <n v="9.3000000000000007"/>
    <x v="1"/>
    <x v="1"/>
    <x v="0"/>
  </r>
  <r>
    <x v="235"/>
    <x v="4"/>
    <n v="1.6"/>
    <n v="103"/>
    <n v="22"/>
    <x v="222"/>
    <n v="9.4"/>
    <x v="2"/>
    <x v="2"/>
    <x v="0"/>
  </r>
  <r>
    <x v="236"/>
    <x v="3"/>
    <n v="3.2"/>
    <n v="220"/>
    <n v="54"/>
    <x v="223"/>
    <n v="3"/>
    <x v="1"/>
    <x v="0"/>
    <x v="2"/>
  </r>
  <r>
    <x v="237"/>
    <x v="3"/>
    <n v="3.9"/>
    <n v="423"/>
    <n v="34"/>
    <x v="224"/>
    <n v="5.3"/>
    <x v="1"/>
    <x v="1"/>
    <x v="0"/>
  </r>
  <r>
    <x v="238"/>
    <x v="2"/>
    <n v="1.1000000000000001"/>
    <n v="210"/>
    <n v="22"/>
    <x v="225"/>
    <n v="6.5"/>
    <x v="0"/>
    <x v="1"/>
    <x v="0"/>
  </r>
  <r>
    <x v="239"/>
    <x v="4"/>
    <n v="5"/>
    <n v="334"/>
    <n v="95"/>
    <x v="226"/>
    <n v="5.9"/>
    <x v="2"/>
    <x v="0"/>
    <x v="1"/>
  </r>
  <r>
    <x v="240"/>
    <x v="4"/>
    <n v="1.2"/>
    <n v="484"/>
    <n v="16"/>
    <x v="227"/>
    <n v="8.6"/>
    <x v="2"/>
    <x v="1"/>
    <x v="2"/>
  </r>
  <r>
    <x v="241"/>
    <x v="1"/>
    <n v="2.2000000000000002"/>
    <n v="325"/>
    <n v="90"/>
    <x v="228"/>
    <n v="3.1"/>
    <x v="2"/>
    <x v="1"/>
    <x v="1"/>
  </r>
  <r>
    <x v="242"/>
    <x v="5"/>
    <n v="4.2"/>
    <n v="317"/>
    <n v="25"/>
    <x v="229"/>
    <n v="7.1"/>
    <x v="1"/>
    <x v="2"/>
    <x v="1"/>
  </r>
  <r>
    <x v="243"/>
    <x v="0"/>
    <n v="3.8"/>
    <n v="235"/>
    <n v="45"/>
    <x v="230"/>
    <n v="8"/>
    <x v="1"/>
    <x v="1"/>
    <x v="2"/>
  </r>
  <r>
    <x v="244"/>
    <x v="6"/>
    <n v="1.6"/>
    <n v="125"/>
    <n v="39"/>
    <x v="231"/>
    <n v="8"/>
    <x v="1"/>
    <x v="2"/>
    <x v="0"/>
  </r>
  <r>
    <x v="245"/>
    <x v="6"/>
    <n v="3.7"/>
    <n v="271"/>
    <n v="59"/>
    <x v="232"/>
    <n v="3.2"/>
    <x v="1"/>
    <x v="1"/>
    <x v="2"/>
  </r>
  <r>
    <x v="246"/>
    <x v="1"/>
    <n v="2"/>
    <n v="347"/>
    <n v="82"/>
    <x v="233"/>
    <n v="3"/>
    <x v="1"/>
    <x v="0"/>
    <x v="2"/>
  </r>
  <r>
    <x v="247"/>
    <x v="4"/>
    <n v="4"/>
    <n v="311"/>
    <n v="81"/>
    <x v="234"/>
    <n v="3.9"/>
    <x v="2"/>
    <x v="2"/>
    <x v="2"/>
  </r>
  <r>
    <x v="248"/>
    <x v="5"/>
    <n v="3.5"/>
    <n v="393"/>
    <n v="115"/>
    <x v="235"/>
    <n v="8.5"/>
    <x v="1"/>
    <x v="2"/>
    <x v="2"/>
  </r>
  <r>
    <x v="249"/>
    <x v="3"/>
    <n v="1.7"/>
    <n v="212"/>
    <n v="95"/>
    <x v="236"/>
    <n v="5.9"/>
    <x v="2"/>
    <x v="1"/>
    <x v="0"/>
  </r>
  <r>
    <x v="250"/>
    <x v="2"/>
    <n v="1.7"/>
    <n v="122"/>
    <n v="91"/>
    <x v="237"/>
    <n v="9.1999999999999993"/>
    <x v="0"/>
    <x v="1"/>
    <x v="1"/>
  </r>
  <r>
    <x v="251"/>
    <x v="0"/>
    <n v="1.9"/>
    <n v="237"/>
    <n v="19"/>
    <x v="238"/>
    <n v="4.8"/>
    <x v="2"/>
    <x v="1"/>
    <x v="1"/>
  </r>
  <r>
    <x v="252"/>
    <x v="5"/>
    <n v="2"/>
    <n v="281"/>
    <n v="31"/>
    <x v="239"/>
    <n v="6.8"/>
    <x v="2"/>
    <x v="2"/>
    <x v="0"/>
  </r>
  <r>
    <x v="253"/>
    <x v="2"/>
    <n v="2.8"/>
    <n v="462"/>
    <n v="99"/>
    <x v="240"/>
    <n v="8.1"/>
    <x v="2"/>
    <x v="2"/>
    <x v="2"/>
  </r>
  <r>
    <x v="254"/>
    <x v="2"/>
    <n v="4.2"/>
    <n v="487"/>
    <n v="20"/>
    <x v="212"/>
    <n v="4.4000000000000004"/>
    <x v="1"/>
    <x v="2"/>
    <x v="1"/>
  </r>
  <r>
    <x v="255"/>
    <x v="5"/>
    <n v="4"/>
    <n v="176"/>
    <n v="97"/>
    <x v="241"/>
    <n v="8.6999999999999993"/>
    <x v="2"/>
    <x v="1"/>
    <x v="0"/>
  </r>
  <r>
    <x v="256"/>
    <x v="5"/>
    <n v="1.7"/>
    <n v="416"/>
    <n v="55"/>
    <x v="242"/>
    <n v="8.4"/>
    <x v="0"/>
    <x v="2"/>
    <x v="1"/>
  </r>
  <r>
    <x v="257"/>
    <x v="3"/>
    <n v="4.4000000000000004"/>
    <n v="410"/>
    <n v="88"/>
    <x v="243"/>
    <n v="5"/>
    <x v="0"/>
    <x v="0"/>
    <x v="2"/>
  </r>
  <r>
    <x v="258"/>
    <x v="5"/>
    <n v="4.0999999999999996"/>
    <n v="412"/>
    <n v="112"/>
    <x v="236"/>
    <n v="8.5"/>
    <x v="2"/>
    <x v="0"/>
    <x v="1"/>
  </r>
  <r>
    <x v="259"/>
    <x v="1"/>
    <n v="4.8"/>
    <n v="416"/>
    <n v="33"/>
    <x v="135"/>
    <n v="5.4"/>
    <x v="0"/>
    <x v="2"/>
    <x v="2"/>
  </r>
  <r>
    <x v="260"/>
    <x v="1"/>
    <n v="1.8"/>
    <n v="428"/>
    <n v="111"/>
    <x v="244"/>
    <n v="4.7"/>
    <x v="1"/>
    <x v="1"/>
    <x v="0"/>
  </r>
  <r>
    <x v="261"/>
    <x v="5"/>
    <n v="3"/>
    <n v="453"/>
    <n v="64"/>
    <x v="245"/>
    <n v="9.5"/>
    <x v="2"/>
    <x v="2"/>
    <x v="2"/>
  </r>
  <r>
    <x v="262"/>
    <x v="4"/>
    <n v="2.4"/>
    <n v="314"/>
    <n v="94"/>
    <x v="246"/>
    <n v="5.4"/>
    <x v="2"/>
    <x v="1"/>
    <x v="1"/>
  </r>
  <r>
    <x v="263"/>
    <x v="5"/>
    <n v="1.9"/>
    <n v="260"/>
    <n v="118"/>
    <x v="247"/>
    <n v="7.9"/>
    <x v="2"/>
    <x v="2"/>
    <x v="1"/>
  </r>
  <r>
    <x v="264"/>
    <x v="6"/>
    <n v="4.4000000000000004"/>
    <n v="217"/>
    <n v="46"/>
    <x v="248"/>
    <n v="3.5"/>
    <x v="1"/>
    <x v="2"/>
    <x v="2"/>
  </r>
  <r>
    <x v="265"/>
    <x v="2"/>
    <n v="1.8"/>
    <n v="296"/>
    <n v="118"/>
    <x v="249"/>
    <n v="7"/>
    <x v="0"/>
    <x v="0"/>
    <x v="0"/>
  </r>
  <r>
    <x v="266"/>
    <x v="1"/>
    <n v="2.4"/>
    <n v="429"/>
    <n v="67"/>
    <x v="250"/>
    <n v="9"/>
    <x v="1"/>
    <x v="1"/>
    <x v="1"/>
  </r>
  <r>
    <x v="267"/>
    <x v="4"/>
    <n v="4"/>
    <n v="445"/>
    <n v="85"/>
    <x v="251"/>
    <n v="9.8000000000000007"/>
    <x v="0"/>
    <x v="2"/>
    <x v="1"/>
  </r>
  <r>
    <x v="268"/>
    <x v="5"/>
    <n v="2.1"/>
    <n v="434"/>
    <n v="87"/>
    <x v="252"/>
    <n v="9.4"/>
    <x v="1"/>
    <x v="1"/>
    <x v="0"/>
  </r>
  <r>
    <x v="269"/>
    <x v="1"/>
    <n v="2.7"/>
    <n v="457"/>
    <n v="25"/>
    <x v="253"/>
    <n v="7.2"/>
    <x v="2"/>
    <x v="2"/>
    <x v="0"/>
  </r>
  <r>
    <x v="270"/>
    <x v="0"/>
    <n v="4.2"/>
    <n v="330"/>
    <n v="27"/>
    <x v="254"/>
    <n v="5.6"/>
    <x v="2"/>
    <x v="0"/>
    <x v="2"/>
  </r>
  <r>
    <x v="271"/>
    <x v="0"/>
    <n v="4.4000000000000004"/>
    <n v="218"/>
    <n v="30"/>
    <x v="255"/>
    <n v="9.6"/>
    <x v="1"/>
    <x v="1"/>
    <x v="2"/>
  </r>
  <r>
    <x v="272"/>
    <x v="4"/>
    <n v="1.7"/>
    <n v="178"/>
    <n v="70"/>
    <x v="43"/>
    <n v="4.7"/>
    <x v="1"/>
    <x v="2"/>
    <x v="0"/>
  </r>
  <r>
    <x v="273"/>
    <x v="6"/>
    <n v="4.9000000000000004"/>
    <n v="219"/>
    <n v="74"/>
    <x v="256"/>
    <n v="8.3000000000000007"/>
    <x v="1"/>
    <x v="2"/>
    <x v="2"/>
  </r>
  <r>
    <x v="274"/>
    <x v="2"/>
    <n v="1.9"/>
    <n v="122"/>
    <n v="82"/>
    <x v="257"/>
    <n v="3.7"/>
    <x v="1"/>
    <x v="1"/>
    <x v="2"/>
  </r>
  <r>
    <x v="275"/>
    <x v="1"/>
    <n v="3.1"/>
    <n v="445"/>
    <n v="51"/>
    <x v="258"/>
    <n v="5.7"/>
    <x v="1"/>
    <x v="0"/>
    <x v="0"/>
  </r>
  <r>
    <x v="276"/>
    <x v="3"/>
    <n v="2.6"/>
    <n v="386"/>
    <n v="64"/>
    <x v="259"/>
    <n v="6.7"/>
    <x v="0"/>
    <x v="1"/>
    <x v="1"/>
  </r>
  <r>
    <x v="277"/>
    <x v="4"/>
    <n v="3.4"/>
    <n v="282"/>
    <n v="72"/>
    <x v="260"/>
    <n v="3.4"/>
    <x v="0"/>
    <x v="1"/>
    <x v="1"/>
  </r>
  <r>
    <x v="278"/>
    <x v="4"/>
    <n v="2.2999999999999998"/>
    <n v="228"/>
    <n v="107"/>
    <x v="261"/>
    <n v="9.6999999999999993"/>
    <x v="0"/>
    <x v="0"/>
    <x v="1"/>
  </r>
  <r>
    <x v="279"/>
    <x v="0"/>
    <n v="4.0999999999999996"/>
    <n v="281"/>
    <n v="32"/>
    <x v="262"/>
    <n v="9.5"/>
    <x v="0"/>
    <x v="0"/>
    <x v="0"/>
  </r>
  <r>
    <x v="280"/>
    <x v="5"/>
    <n v="4"/>
    <n v="343"/>
    <n v="58"/>
    <x v="263"/>
    <n v="4.4000000000000004"/>
    <x v="2"/>
    <x v="2"/>
    <x v="0"/>
  </r>
  <r>
    <x v="281"/>
    <x v="4"/>
    <n v="1.1000000000000001"/>
    <n v="321"/>
    <n v="35"/>
    <x v="264"/>
    <n v="7.3"/>
    <x v="1"/>
    <x v="2"/>
    <x v="1"/>
  </r>
  <r>
    <x v="282"/>
    <x v="1"/>
    <n v="2.7"/>
    <n v="213"/>
    <n v="103"/>
    <x v="265"/>
    <n v="6.8"/>
    <x v="0"/>
    <x v="2"/>
    <x v="1"/>
  </r>
  <r>
    <x v="283"/>
    <x v="1"/>
    <n v="3.1"/>
    <n v="395"/>
    <n v="97"/>
    <x v="266"/>
    <n v="7.4"/>
    <x v="1"/>
    <x v="1"/>
    <x v="1"/>
  </r>
  <r>
    <x v="284"/>
    <x v="0"/>
    <n v="3.9"/>
    <n v="473"/>
    <n v="116"/>
    <x v="267"/>
    <n v="3.8"/>
    <x v="1"/>
    <x v="2"/>
    <x v="1"/>
  </r>
  <r>
    <x v="285"/>
    <x v="4"/>
    <n v="2.2999999999999998"/>
    <n v="389"/>
    <n v="38"/>
    <x v="268"/>
    <n v="8.6999999999999993"/>
    <x v="2"/>
    <x v="2"/>
    <x v="0"/>
  </r>
  <r>
    <x v="286"/>
    <x v="0"/>
    <n v="4.5"/>
    <n v="155"/>
    <n v="58"/>
    <x v="269"/>
    <n v="6.1"/>
    <x v="1"/>
    <x v="0"/>
    <x v="1"/>
  </r>
  <r>
    <x v="287"/>
    <x v="4"/>
    <n v="3.6"/>
    <n v="265"/>
    <n v="83"/>
    <x v="270"/>
    <n v="3.6"/>
    <x v="1"/>
    <x v="2"/>
    <x v="2"/>
  </r>
  <r>
    <x v="288"/>
    <x v="3"/>
    <n v="2.4"/>
    <n v="448"/>
    <n v="91"/>
    <x v="271"/>
    <n v="7.7"/>
    <x v="0"/>
    <x v="0"/>
    <x v="1"/>
  </r>
  <r>
    <x v="289"/>
    <x v="5"/>
    <n v="3.6"/>
    <n v="230"/>
    <n v="20"/>
    <x v="272"/>
    <n v="4.5999999999999996"/>
    <x v="1"/>
    <x v="1"/>
    <x v="0"/>
  </r>
  <r>
    <x v="290"/>
    <x v="6"/>
    <n v="3.2"/>
    <n v="453"/>
    <n v="101"/>
    <x v="273"/>
    <n v="6.2"/>
    <x v="0"/>
    <x v="2"/>
    <x v="2"/>
  </r>
  <r>
    <x v="291"/>
    <x v="3"/>
    <n v="4.5999999999999996"/>
    <n v="177"/>
    <n v="76"/>
    <x v="274"/>
    <n v="9.3000000000000007"/>
    <x v="0"/>
    <x v="0"/>
    <x v="1"/>
  </r>
  <r>
    <x v="292"/>
    <x v="4"/>
    <n v="4.9000000000000004"/>
    <n v="143"/>
    <n v="91"/>
    <x v="275"/>
    <n v="9.4"/>
    <x v="0"/>
    <x v="1"/>
    <x v="0"/>
  </r>
  <r>
    <x v="293"/>
    <x v="2"/>
    <n v="1.2"/>
    <n v="236"/>
    <n v="26"/>
    <x v="276"/>
    <n v="9.1999999999999993"/>
    <x v="0"/>
    <x v="0"/>
    <x v="0"/>
  </r>
  <r>
    <x v="294"/>
    <x v="0"/>
    <n v="4.7"/>
    <n v="388"/>
    <n v="117"/>
    <x v="277"/>
    <n v="6"/>
    <x v="1"/>
    <x v="2"/>
    <x v="2"/>
  </r>
  <r>
    <x v="295"/>
    <x v="3"/>
    <n v="2.4"/>
    <n v="321"/>
    <n v="85"/>
    <x v="278"/>
    <n v="9.3000000000000007"/>
    <x v="0"/>
    <x v="0"/>
    <x v="2"/>
  </r>
  <r>
    <x v="296"/>
    <x v="2"/>
    <n v="1.3"/>
    <n v="485"/>
    <n v="106"/>
    <x v="279"/>
    <n v="3.2"/>
    <x v="1"/>
    <x v="2"/>
    <x v="1"/>
  </r>
  <r>
    <x v="297"/>
    <x v="1"/>
    <n v="3.9"/>
    <n v="172"/>
    <n v="95"/>
    <x v="280"/>
    <n v="7.6"/>
    <x v="1"/>
    <x v="1"/>
    <x v="0"/>
  </r>
  <r>
    <x v="298"/>
    <x v="1"/>
    <n v="4.8"/>
    <n v="486"/>
    <n v="28"/>
    <x v="146"/>
    <n v="7.5"/>
    <x v="0"/>
    <x v="1"/>
    <x v="1"/>
  </r>
  <r>
    <x v="299"/>
    <x v="1"/>
    <n v="4.4000000000000004"/>
    <n v="200"/>
    <n v="102"/>
    <x v="281"/>
    <n v="5.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A1A9DB6-3798-4D95-848D-B651230BFB43}" name="FUEL TYPE OF CARS"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rowHeaderCaption="FUEL_TYPE">
  <location ref="D3:E4" firstHeaderRow="1" firstDataRow="1" firstDataCol="1"/>
  <pivotFields count="10">
    <pivotField dataField="1"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showAll="0">
      <items count="8">
        <item h="1" x="2"/>
        <item x="5"/>
        <item x="1"/>
        <item h="1" x="3"/>
        <item x="6"/>
        <item h="1" x="4"/>
        <item x="0"/>
        <item t="default"/>
      </items>
    </pivotField>
    <pivotField showAll="0"/>
    <pivotField showAll="0"/>
    <pivotField showAll="0"/>
    <pivotField showAll="0"/>
    <pivotField showAll="0"/>
    <pivotField showAll="0"/>
    <pivotField axis="axisRow" showAll="0">
      <items count="4">
        <item h="1" x="2"/>
        <item h="1" x="0"/>
        <item x="1"/>
        <item t="default"/>
      </items>
    </pivotField>
    <pivotField showAll="0">
      <items count="4">
        <item x="1"/>
        <item x="0"/>
        <item x="2"/>
        <item t="default"/>
      </items>
    </pivotField>
  </pivotFields>
  <rowFields count="1">
    <field x="8"/>
  </rowFields>
  <rowItems count="1">
    <i>
      <x v="2"/>
    </i>
  </rowItems>
  <colItems count="1">
    <i/>
  </colItems>
  <dataFields count="1">
    <dataField name="TOTAL CARS" fld="0" subtotal="count" baseField="0" baseItem="0"/>
  </dataFields>
  <formats count="3">
    <format dxfId="597">
      <pivotArea outline="0" collapsedLevelsAreSubtotals="1" fieldPosition="0"/>
    </format>
    <format dxfId="596">
      <pivotArea field="8" type="button" dataOnly="0" labelOnly="1" outline="0" axis="axisRow" fieldPosition="0"/>
    </format>
    <format dxfId="595">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8" count="1" selected="0">
            <x v="0"/>
          </reference>
        </references>
      </pivotArea>
    </chartFormat>
    <chartFormat chart="4" format="6">
      <pivotArea type="data" outline="0" fieldPosition="0">
        <references count="2">
          <reference field="4294967294" count="1" selected="0">
            <x v="0"/>
          </reference>
          <reference field="8" count="1" selected="0">
            <x v="1"/>
          </reference>
        </references>
      </pivotArea>
    </chartFormat>
    <chartFormat chart="4" format="7">
      <pivotArea type="data" outline="0" fieldPosition="0">
        <references count="2">
          <reference field="4294967294" count="1" selected="0">
            <x v="0"/>
          </reference>
          <reference field="8"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8" count="1" selected="0">
            <x v="0"/>
          </reference>
        </references>
      </pivotArea>
    </chartFormat>
    <chartFormat chart="5" format="10">
      <pivotArea type="data" outline="0" fieldPosition="0">
        <references count="2">
          <reference field="4294967294" count="1" selected="0">
            <x v="0"/>
          </reference>
          <reference field="8" count="1" selected="0">
            <x v="1"/>
          </reference>
        </references>
      </pivotArea>
    </chartFormat>
    <chartFormat chart="5" format="11">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0676B2-1B84-493D-8DC3-70773A52CB5A}" name="BRAND  OF CARS "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5" rowHeaderCaption=" CAR  BRAND">
  <location ref="A3:B7" firstHeaderRow="1" firstDataRow="1" firstDataCol="1"/>
  <pivotFields count="10">
    <pivotField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8">
        <item h="1" x="2"/>
        <item x="5"/>
        <item x="1"/>
        <item h="1" x="3"/>
        <item x="6"/>
        <item h="1" x="4"/>
        <item x="0"/>
        <item t="default"/>
      </items>
    </pivotField>
    <pivotField showAll="0"/>
    <pivotField dataField="1" showAll="0"/>
    <pivotField showAll="0"/>
    <pivotField showAll="0"/>
    <pivotField showAll="0"/>
    <pivotField showAll="0"/>
    <pivotField showAll="0">
      <items count="4">
        <item h="1" x="2"/>
        <item h="1" x="0"/>
        <item x="1"/>
        <item t="default"/>
      </items>
    </pivotField>
    <pivotField showAll="0">
      <items count="4">
        <item x="1"/>
        <item x="0"/>
        <item x="2"/>
        <item t="default"/>
      </items>
    </pivotField>
  </pivotFields>
  <rowFields count="1">
    <field x="1"/>
  </rowFields>
  <rowItems count="4">
    <i>
      <x v="1"/>
    </i>
    <i>
      <x v="2"/>
    </i>
    <i>
      <x v="4"/>
    </i>
    <i>
      <x v="6"/>
    </i>
  </rowItems>
  <colItems count="1">
    <i/>
  </colItems>
  <dataFields count="1">
    <dataField name="Average of Horsepower" fld="3" subtotal="average" baseField="1" baseItem="0" numFmtId="1"/>
  </dataFields>
  <formats count="8">
    <format dxfId="605">
      <pivotArea outline="0" collapsedLevelsAreSubtotals="1" fieldPosition="0"/>
    </format>
    <format dxfId="604">
      <pivotArea type="all" dataOnly="0" outline="0" fieldPosition="0"/>
    </format>
    <format dxfId="603">
      <pivotArea outline="0" collapsedLevelsAreSubtotals="1" fieldPosition="0"/>
    </format>
    <format dxfId="602">
      <pivotArea field="1" type="button" dataOnly="0" labelOnly="1" outline="0" axis="axisRow" fieldPosition="0"/>
    </format>
    <format dxfId="601">
      <pivotArea dataOnly="0" labelOnly="1" fieldPosition="0">
        <references count="1">
          <reference field="1" count="0"/>
        </references>
      </pivotArea>
    </format>
    <format dxfId="600">
      <pivotArea dataOnly="0" labelOnly="1" outline="0" axis="axisValues" fieldPosition="0"/>
    </format>
    <format dxfId="599">
      <pivotArea field="1" type="button" dataOnly="0" labelOnly="1" outline="0" axis="axisRow" fieldPosition="0"/>
    </format>
    <format dxfId="598">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895965-32AB-42D7-BC26-FDE750082E2C}" name="PivotTable6"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2" rowHeaderCaption="CAR BRAND">
  <location ref="G9:H13" firstHeaderRow="1" firstDataRow="1" firstDataCol="1"/>
  <pivotFields count="10">
    <pivotField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items count="8">
        <item h="1" x="2"/>
        <item x="5"/>
        <item x="1"/>
        <item h="1" x="3"/>
        <item x="6"/>
        <item h="1" x="4"/>
        <item x="0"/>
        <item t="default"/>
      </items>
    </pivotField>
    <pivotField dataField="1" showAll="0"/>
    <pivotField showAll="0"/>
    <pivotField showAll="0"/>
    <pivotField showAll="0"/>
    <pivotField showAll="0"/>
    <pivotField showAll="0">
      <items count="4">
        <item x="0"/>
        <item x="1"/>
        <item x="2"/>
        <item t="default"/>
      </items>
    </pivotField>
    <pivotField showAll="0">
      <items count="4">
        <item h="1" x="2"/>
        <item h="1" x="0"/>
        <item x="1"/>
        <item t="default"/>
      </items>
    </pivotField>
    <pivotField showAll="0">
      <items count="4">
        <item x="1"/>
        <item x="0"/>
        <item x="2"/>
        <item t="default"/>
      </items>
    </pivotField>
  </pivotFields>
  <rowFields count="1">
    <field x="1"/>
  </rowFields>
  <rowItems count="4">
    <i>
      <x v="1"/>
    </i>
    <i>
      <x v="2"/>
    </i>
    <i>
      <x v="4"/>
    </i>
    <i>
      <x v="6"/>
    </i>
  </rowItems>
  <colItems count="1">
    <i/>
  </colItems>
  <dataFields count="1">
    <dataField name="Average of Engine_Size" fld="2" subtotal="average" baseField="1" baseItem="0"/>
  </dataFields>
  <formats count="3">
    <format dxfId="606">
      <pivotArea outline="0" collapsedLevelsAreSubtotals="1" fieldPosition="0"/>
    </format>
    <format dxfId="227">
      <pivotArea field="1" type="button" dataOnly="0" labelOnly="1" outline="0" axis="axisRow" fieldPosition="0"/>
    </format>
    <format dxfId="226">
      <pivotArea dataOnly="0" labelOnly="1" outline="0" axis="axisValues" fieldPosition="0"/>
    </format>
  </formats>
  <chartFormats count="1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6"/>
          </reference>
        </references>
      </pivotArea>
    </chartFormat>
    <chartFormat chart="1" format="2">
      <pivotArea type="data" outline="0" fieldPosition="0">
        <references count="2">
          <reference field="4294967294" count="1" selected="0">
            <x v="0"/>
          </reference>
          <reference field="1" count="1" selected="0">
            <x v="5"/>
          </reference>
        </references>
      </pivotArea>
    </chartFormat>
    <chartFormat chart="1" format="3">
      <pivotArea type="data" outline="0" fieldPosition="0">
        <references count="2">
          <reference field="4294967294" count="1" selected="0">
            <x v="0"/>
          </reference>
          <reference field="1" count="1" selected="0">
            <x v="4"/>
          </reference>
        </references>
      </pivotArea>
    </chartFormat>
    <chartFormat chart="1" format="4">
      <pivotArea type="data" outline="0" fieldPosition="0">
        <references count="2">
          <reference field="4294967294" count="1" selected="0">
            <x v="0"/>
          </reference>
          <reference field="1" count="1" selected="0">
            <x v="3"/>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pivotArea type="data" outline="0" fieldPosition="0">
        <references count="2">
          <reference field="4294967294" count="1" selected="0">
            <x v="0"/>
          </reference>
          <reference field="1" count="1" selected="0">
            <x v="1"/>
          </reference>
        </references>
      </pivotArea>
    </chartFormat>
    <chartFormat chart="1" format="7">
      <pivotArea type="data" outline="0" fieldPosition="0">
        <references count="2">
          <reference field="4294967294" count="1" selected="0">
            <x v="0"/>
          </reference>
          <reference field="1" count="1" selected="0">
            <x v="0"/>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 count="1" selected="0">
            <x v="0"/>
          </reference>
        </references>
      </pivotArea>
    </chartFormat>
    <chartFormat chart="10" format="18">
      <pivotArea type="data" outline="0" fieldPosition="0">
        <references count="2">
          <reference field="4294967294" count="1" selected="0">
            <x v="0"/>
          </reference>
          <reference field="1" count="1" selected="0">
            <x v="1"/>
          </reference>
        </references>
      </pivotArea>
    </chartFormat>
    <chartFormat chart="10" format="19">
      <pivotArea type="data" outline="0" fieldPosition="0">
        <references count="2">
          <reference field="4294967294" count="1" selected="0">
            <x v="0"/>
          </reference>
          <reference field="1" count="1" selected="0">
            <x v="2"/>
          </reference>
        </references>
      </pivotArea>
    </chartFormat>
    <chartFormat chart="10" format="20">
      <pivotArea type="data" outline="0" fieldPosition="0">
        <references count="2">
          <reference field="4294967294" count="1" selected="0">
            <x v="0"/>
          </reference>
          <reference field="1" count="1" selected="0">
            <x v="3"/>
          </reference>
        </references>
      </pivotArea>
    </chartFormat>
    <chartFormat chart="10" format="21">
      <pivotArea type="data" outline="0" fieldPosition="0">
        <references count="2">
          <reference field="4294967294" count="1" selected="0">
            <x v="0"/>
          </reference>
          <reference field="1" count="1" selected="0">
            <x v="4"/>
          </reference>
        </references>
      </pivotArea>
    </chartFormat>
    <chartFormat chart="10" format="22">
      <pivotArea type="data" outline="0" fieldPosition="0">
        <references count="2">
          <reference field="4294967294" count="1" selected="0">
            <x v="0"/>
          </reference>
          <reference field="1" count="1" selected="0">
            <x v="5"/>
          </reference>
        </references>
      </pivotArea>
    </chartFormat>
    <chartFormat chart="10" format="23">
      <pivotArea type="data" outline="0" fieldPosition="0">
        <references count="2">
          <reference field="4294967294" count="1" selected="0">
            <x v="0"/>
          </reference>
          <reference field="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7A31C2-6825-44DB-9D64-B67082107785}" name="PivotTable5"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rowHeaderCaption="CAR BRAND">
  <location ref="D9:E13" firstHeaderRow="1" firstDataRow="1" firstDataCol="1"/>
  <pivotFields count="10">
    <pivotField showAll="0">
      <items count="301">
        <item x="0"/>
        <item x="9"/>
        <item x="99"/>
        <item x="100"/>
        <item x="101"/>
        <item x="102"/>
        <item x="103"/>
        <item x="104"/>
        <item x="105"/>
        <item x="106"/>
        <item x="107"/>
        <item x="108"/>
        <item x="10"/>
        <item x="109"/>
        <item x="110"/>
        <item x="111"/>
        <item x="112"/>
        <item x="113"/>
        <item x="114"/>
        <item x="115"/>
        <item x="116"/>
        <item x="117"/>
        <item x="118"/>
        <item x="11"/>
        <item x="119"/>
        <item x="120"/>
        <item x="121"/>
        <item x="122"/>
        <item x="123"/>
        <item x="124"/>
        <item x="125"/>
        <item x="126"/>
        <item x="127"/>
        <item x="128"/>
        <item x="12"/>
        <item x="129"/>
        <item x="130"/>
        <item x="131"/>
        <item x="132"/>
        <item x="133"/>
        <item x="134"/>
        <item x="135"/>
        <item x="136"/>
        <item x="137"/>
        <item x="138"/>
        <item x="13"/>
        <item x="139"/>
        <item x="140"/>
        <item x="141"/>
        <item x="142"/>
        <item x="143"/>
        <item x="144"/>
        <item x="145"/>
        <item x="146"/>
        <item x="147"/>
        <item x="148"/>
        <item x="14"/>
        <item x="149"/>
        <item x="150"/>
        <item x="151"/>
        <item x="152"/>
        <item x="153"/>
        <item x="154"/>
        <item x="155"/>
        <item x="156"/>
        <item x="157"/>
        <item x="158"/>
        <item x="15"/>
        <item x="159"/>
        <item x="160"/>
        <item x="161"/>
        <item x="162"/>
        <item x="163"/>
        <item x="164"/>
        <item x="165"/>
        <item x="166"/>
        <item x="167"/>
        <item x="168"/>
        <item x="16"/>
        <item x="169"/>
        <item x="170"/>
        <item x="171"/>
        <item x="172"/>
        <item x="173"/>
        <item x="174"/>
        <item x="175"/>
        <item x="176"/>
        <item x="177"/>
        <item x="178"/>
        <item x="17"/>
        <item x="179"/>
        <item x="180"/>
        <item x="181"/>
        <item x="182"/>
        <item x="183"/>
        <item x="184"/>
        <item x="185"/>
        <item x="186"/>
        <item x="187"/>
        <item x="188"/>
        <item x="18"/>
        <item x="189"/>
        <item x="190"/>
        <item x="191"/>
        <item x="192"/>
        <item x="193"/>
        <item x="194"/>
        <item x="195"/>
        <item x="196"/>
        <item x="197"/>
        <item x="198"/>
        <item x="1"/>
        <item x="19"/>
        <item x="199"/>
        <item x="200"/>
        <item x="201"/>
        <item x="202"/>
        <item x="203"/>
        <item x="204"/>
        <item x="205"/>
        <item x="206"/>
        <item x="207"/>
        <item x="208"/>
        <item x="20"/>
        <item x="209"/>
        <item x="210"/>
        <item x="211"/>
        <item x="212"/>
        <item x="213"/>
        <item x="214"/>
        <item x="215"/>
        <item x="216"/>
        <item x="217"/>
        <item x="218"/>
        <item x="21"/>
        <item x="219"/>
        <item x="220"/>
        <item x="221"/>
        <item x="222"/>
        <item x="223"/>
        <item x="224"/>
        <item x="225"/>
        <item x="226"/>
        <item x="227"/>
        <item x="228"/>
        <item x="22"/>
        <item x="229"/>
        <item x="230"/>
        <item x="231"/>
        <item x="232"/>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
        <item x="31"/>
        <item x="32"/>
        <item x="33"/>
        <item x="34"/>
        <item x="35"/>
        <item x="36"/>
        <item x="37"/>
        <item x="38"/>
        <item x="3"/>
        <item x="39"/>
        <item x="40"/>
        <item x="41"/>
        <item x="42"/>
        <item x="43"/>
        <item x="44"/>
        <item x="45"/>
        <item x="46"/>
        <item x="47"/>
        <item x="48"/>
        <item x="4"/>
        <item x="49"/>
        <item x="50"/>
        <item x="51"/>
        <item x="52"/>
        <item x="53"/>
        <item x="54"/>
        <item x="55"/>
        <item x="56"/>
        <item x="57"/>
        <item x="58"/>
        <item x="5"/>
        <item x="59"/>
        <item x="60"/>
        <item x="61"/>
        <item x="62"/>
        <item x="63"/>
        <item x="64"/>
        <item x="65"/>
        <item x="66"/>
        <item x="67"/>
        <item x="68"/>
        <item x="6"/>
        <item x="69"/>
        <item x="70"/>
        <item x="71"/>
        <item x="72"/>
        <item x="73"/>
        <item x="74"/>
        <item x="75"/>
        <item x="76"/>
        <item x="77"/>
        <item x="78"/>
        <item x="7"/>
        <item x="79"/>
        <item x="80"/>
        <item x="81"/>
        <item x="82"/>
        <item x="83"/>
        <item x="84"/>
        <item x="85"/>
        <item x="86"/>
        <item x="87"/>
        <item x="88"/>
        <item x="8"/>
        <item x="89"/>
        <item x="90"/>
        <item x="91"/>
        <item x="92"/>
        <item x="93"/>
        <item x="94"/>
        <item x="95"/>
        <item x="96"/>
        <item x="97"/>
        <item x="98"/>
        <item t="default"/>
      </items>
    </pivotField>
    <pivotField axis="axisRow" showAll="0" sortType="ascending">
      <items count="8">
        <item h="1" x="2"/>
        <item x="5"/>
        <item x="1"/>
        <item h="1" x="3"/>
        <item x="6"/>
        <item h="1" x="4"/>
        <item x="0"/>
        <item t="default"/>
      </items>
    </pivotField>
    <pivotField showAll="0"/>
    <pivotField showAll="0"/>
    <pivotField dataField="1" showAll="0"/>
    <pivotField showAll="0"/>
    <pivotField showAll="0"/>
    <pivotField showAll="0">
      <items count="4">
        <item x="0"/>
        <item x="1"/>
        <item x="2"/>
        <item t="default"/>
      </items>
    </pivotField>
    <pivotField showAll="0">
      <items count="4">
        <item h="1" x="2"/>
        <item h="1" x="0"/>
        <item x="1"/>
        <item t="default"/>
      </items>
    </pivotField>
    <pivotField showAll="0">
      <items count="4">
        <item x="1"/>
        <item x="0"/>
        <item x="2"/>
        <item t="default"/>
      </items>
    </pivotField>
  </pivotFields>
  <rowFields count="1">
    <field x="1"/>
  </rowFields>
  <rowItems count="4">
    <i>
      <x v="1"/>
    </i>
    <i>
      <x v="2"/>
    </i>
    <i>
      <x v="4"/>
    </i>
    <i>
      <x v="6"/>
    </i>
  </rowItems>
  <colItems count="1">
    <i/>
  </colItems>
  <dataFields count="1">
    <dataField name="Average of MPG" fld="4" subtotal="average" baseField="1" baseItem="0"/>
  </dataFields>
  <formats count="3">
    <format dxfId="607">
      <pivotArea outline="0" collapsedLevelsAreSubtotals="1" fieldPosition="0"/>
    </format>
    <format dxfId="230">
      <pivotArea field="1" type="button" dataOnly="0" labelOnly="1" outline="0" axis="axisRow" fieldPosition="0"/>
    </format>
    <format dxfId="229">
      <pivotArea dataOnly="0" labelOnly="1" outline="0" axis="axisValues" fieldPosition="0"/>
    </format>
  </formats>
  <chartFormats count="2">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7C4512-7CCA-4AA6-BB32-AB90F3156F2C}" name="PivotTable4"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CAR BRAND">
  <location ref="J3:K7" firstHeaderRow="1" firstDataRow="1" firstDataCol="1"/>
  <pivotFields count="10">
    <pivotField showAll="0"/>
    <pivotField axis="axisRow" showAll="0">
      <items count="8">
        <item h="1" x="2"/>
        <item x="5"/>
        <item x="1"/>
        <item h="1" x="3"/>
        <item x="6"/>
        <item h="1" x="4"/>
        <item x="0"/>
        <item t="default"/>
      </items>
    </pivotField>
    <pivotField showAll="0"/>
    <pivotField showAll="0"/>
    <pivotField showAll="0"/>
    <pivotField showAll="0"/>
    <pivotField dataField="1" showAll="0"/>
    <pivotField showAll="0"/>
    <pivotField showAll="0">
      <items count="4">
        <item h="1" x="2"/>
        <item h="1" x="0"/>
        <item x="1"/>
        <item t="default"/>
      </items>
    </pivotField>
    <pivotField showAll="0">
      <items count="4">
        <item x="1"/>
        <item x="0"/>
        <item x="2"/>
        <item t="default"/>
      </items>
    </pivotField>
  </pivotFields>
  <rowFields count="1">
    <field x="1"/>
  </rowFields>
  <rowItems count="4">
    <i>
      <x v="1"/>
    </i>
    <i>
      <x v="2"/>
    </i>
    <i>
      <x v="4"/>
    </i>
    <i>
      <x v="6"/>
    </i>
  </rowItems>
  <colItems count="1">
    <i/>
  </colItems>
  <dataFields count="1">
    <dataField name="Average of Acceleration" fld="6" subtotal="average" baseField="1" baseItem="0"/>
  </dataFields>
  <formats count="3">
    <format dxfId="608">
      <pivotArea outline="0" collapsedLevelsAreSubtotals="1" fieldPosition="0"/>
    </format>
    <format dxfId="233">
      <pivotArea field="1" type="button" dataOnly="0" labelOnly="1" outline="0" axis="axisRow" fieldPosition="0"/>
    </format>
    <format dxfId="2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42151D-4794-4809-AC0F-62CDE186489E}" name="PivotTable3"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rowHeaderCaption="TRANSMISSION">
  <location ref="G3:H6" firstHeaderRow="1" firstDataRow="1" firstDataCol="1"/>
  <pivotFields count="10">
    <pivotField dataField="1" showAll="0"/>
    <pivotField showAll="0">
      <items count="8">
        <item h="1" x="2"/>
        <item x="5"/>
        <item x="1"/>
        <item h="1" x="3"/>
        <item x="6"/>
        <item h="1" x="4"/>
        <item x="0"/>
        <item t="default"/>
      </items>
    </pivotField>
    <pivotField showAll="0"/>
    <pivotField showAll="0"/>
    <pivotField showAll="0"/>
    <pivotField showAll="0" avgSubtotal="1">
      <items count="283">
        <item x="193"/>
        <item x="205"/>
        <item x="107"/>
        <item x="9"/>
        <item x="232"/>
        <item x="248"/>
        <item x="225"/>
        <item x="79"/>
        <item x="23"/>
        <item x="173"/>
        <item x="162"/>
        <item x="167"/>
        <item x="219"/>
        <item x="49"/>
        <item x="214"/>
        <item x="28"/>
        <item x="149"/>
        <item x="277"/>
        <item x="24"/>
        <item x="208"/>
        <item x="253"/>
        <item x="7"/>
        <item x="84"/>
        <item x="54"/>
        <item x="120"/>
        <item x="102"/>
        <item x="235"/>
        <item x="267"/>
        <item x="0"/>
        <item x="72"/>
        <item x="50"/>
        <item x="33"/>
        <item x="42"/>
        <item x="146"/>
        <item x="202"/>
        <item x="104"/>
        <item x="264"/>
        <item x="194"/>
        <item x="62"/>
        <item x="71"/>
        <item x="106"/>
        <item x="221"/>
        <item x="215"/>
        <item x="156"/>
        <item x="74"/>
        <item x="130"/>
        <item x="47"/>
        <item x="103"/>
        <item x="64"/>
        <item x="188"/>
        <item x="118"/>
        <item x="147"/>
        <item x="1"/>
        <item x="251"/>
        <item x="18"/>
        <item x="93"/>
        <item x="32"/>
        <item x="101"/>
        <item x="140"/>
        <item x="271"/>
        <item x="212"/>
        <item x="268"/>
        <item x="245"/>
        <item x="4"/>
        <item x="187"/>
        <item x="200"/>
        <item x="238"/>
        <item x="86"/>
        <item x="56"/>
        <item x="242"/>
        <item x="121"/>
        <item x="204"/>
        <item x="255"/>
        <item x="207"/>
        <item x="91"/>
        <item x="260"/>
        <item x="279"/>
        <item x="77"/>
        <item x="132"/>
        <item x="51"/>
        <item x="151"/>
        <item x="239"/>
        <item x="21"/>
        <item x="82"/>
        <item x="236"/>
        <item x="155"/>
        <item x="270"/>
        <item x="203"/>
        <item x="12"/>
        <item x="163"/>
        <item x="14"/>
        <item x="186"/>
        <item x="15"/>
        <item x="226"/>
        <item x="141"/>
        <item x="244"/>
        <item x="78"/>
        <item x="29"/>
        <item x="145"/>
        <item x="197"/>
        <item x="137"/>
        <item x="183"/>
        <item x="250"/>
        <item x="2"/>
        <item x="152"/>
        <item x="246"/>
        <item x="257"/>
        <item x="259"/>
        <item x="10"/>
        <item x="252"/>
        <item x="126"/>
        <item x="112"/>
        <item x="40"/>
        <item x="164"/>
        <item x="263"/>
        <item x="180"/>
        <item x="143"/>
        <item x="249"/>
        <item x="201"/>
        <item x="148"/>
        <item x="223"/>
        <item x="234"/>
        <item x="123"/>
        <item x="88"/>
        <item x="57"/>
        <item x="272"/>
        <item x="182"/>
        <item x="175"/>
        <item x="111"/>
        <item x="281"/>
        <item x="45"/>
        <item x="136"/>
        <item x="41"/>
        <item x="210"/>
        <item x="99"/>
        <item x="35"/>
        <item x="216"/>
        <item x="169"/>
        <item x="134"/>
        <item x="161"/>
        <item x="222"/>
        <item x="191"/>
        <item x="80"/>
        <item x="269"/>
        <item x="55"/>
        <item x="240"/>
        <item x="19"/>
        <item x="237"/>
        <item x="139"/>
        <item x="109"/>
        <item x="209"/>
        <item x="135"/>
        <item x="60"/>
        <item x="217"/>
        <item x="133"/>
        <item x="116"/>
        <item x="256"/>
        <item x="195"/>
        <item x="108"/>
        <item x="61"/>
        <item x="85"/>
        <item x="181"/>
        <item x="127"/>
        <item x="138"/>
        <item x="274"/>
        <item x="52"/>
        <item x="179"/>
        <item x="199"/>
        <item x="98"/>
        <item x="144"/>
        <item x="218"/>
        <item x="63"/>
        <item x="129"/>
        <item x="227"/>
        <item x="3"/>
        <item x="125"/>
        <item x="171"/>
        <item x="258"/>
        <item x="94"/>
        <item x="170"/>
        <item x="31"/>
        <item x="66"/>
        <item x="157"/>
        <item x="273"/>
        <item x="34"/>
        <item x="22"/>
        <item x="11"/>
        <item x="89"/>
        <item x="5"/>
        <item x="20"/>
        <item x="177"/>
        <item x="178"/>
        <item x="220"/>
        <item x="87"/>
        <item x="97"/>
        <item x="75"/>
        <item x="192"/>
        <item x="68"/>
        <item x="142"/>
        <item x="131"/>
        <item x="153"/>
        <item x="168"/>
        <item x="36"/>
        <item x="100"/>
        <item x="110"/>
        <item x="196"/>
        <item x="6"/>
        <item x="67"/>
        <item x="81"/>
        <item x="25"/>
        <item x="172"/>
        <item x="213"/>
        <item x="76"/>
        <item x="228"/>
        <item x="254"/>
        <item x="185"/>
        <item x="117"/>
        <item x="46"/>
        <item x="190"/>
        <item x="122"/>
        <item x="231"/>
        <item x="44"/>
        <item x="26"/>
        <item x="17"/>
        <item x="243"/>
        <item x="48"/>
        <item x="241"/>
        <item x="265"/>
        <item x="95"/>
        <item x="189"/>
        <item x="278"/>
        <item x="37"/>
        <item x="38"/>
        <item x="30"/>
        <item x="184"/>
        <item x="176"/>
        <item x="229"/>
        <item x="43"/>
        <item x="261"/>
        <item x="160"/>
        <item x="90"/>
        <item x="73"/>
        <item x="159"/>
        <item x="39"/>
        <item x="92"/>
        <item x="27"/>
        <item x="158"/>
        <item x="206"/>
        <item x="166"/>
        <item x="266"/>
        <item x="58"/>
        <item x="276"/>
        <item x="114"/>
        <item x="105"/>
        <item x="53"/>
        <item x="150"/>
        <item x="113"/>
        <item x="233"/>
        <item x="224"/>
        <item x="8"/>
        <item x="124"/>
        <item x="174"/>
        <item x="128"/>
        <item x="65"/>
        <item x="16"/>
        <item x="198"/>
        <item x="165"/>
        <item x="59"/>
        <item x="280"/>
        <item x="262"/>
        <item x="70"/>
        <item x="247"/>
        <item x="83"/>
        <item x="230"/>
        <item x="275"/>
        <item x="115"/>
        <item x="154"/>
        <item x="96"/>
        <item x="119"/>
        <item x="13"/>
        <item x="211"/>
        <item x="69"/>
        <item t="avg"/>
      </items>
    </pivotField>
    <pivotField showAll="0"/>
    <pivotField showAll="0"/>
    <pivotField showAll="0">
      <items count="4">
        <item h="1" x="2"/>
        <item h="1" x="0"/>
        <item x="1"/>
        <item t="default"/>
      </items>
    </pivotField>
    <pivotField axis="axisRow" showAll="0">
      <items count="4">
        <item x="1"/>
        <item x="0"/>
        <item x="2"/>
        <item t="default"/>
      </items>
    </pivotField>
  </pivotFields>
  <rowFields count="1">
    <field x="9"/>
  </rowFields>
  <rowItems count="3">
    <i>
      <x/>
    </i>
    <i>
      <x v="1"/>
    </i>
    <i>
      <x v="2"/>
    </i>
  </rowItems>
  <colItems count="1">
    <i/>
  </colItems>
  <dataFields count="1">
    <dataField name="TOTAL of Cars" fld="0" subtotal="count" baseField="0" baseItem="0"/>
  </dataFields>
  <formats count="5">
    <format dxfId="613">
      <pivotArea outline="0" collapsedLevelsAreSubtotals="1" fieldPosition="0"/>
    </format>
    <format dxfId="612">
      <pivotArea field="9" type="button" dataOnly="0" labelOnly="1" outline="0" axis="axisRow" fieldPosition="0"/>
    </format>
    <format dxfId="611">
      <pivotArea dataOnly="0" labelOnly="1" outline="0" axis="axisValues" fieldPosition="0"/>
    </format>
    <format dxfId="610">
      <pivotArea field="9" type="button" dataOnly="0" labelOnly="1" outline="0" axis="axisRow" fieldPosition="0"/>
    </format>
    <format dxfId="609">
      <pivotArea dataOnly="0" labelOnly="1" outline="0" axis="axisValues" fieldPosition="0"/>
    </format>
  </formats>
  <chartFormats count="11">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9" count="1" selected="0">
            <x v="0"/>
          </reference>
        </references>
      </pivotArea>
    </chartFormat>
    <chartFormat chart="13" format="6">
      <pivotArea type="data" outline="0" fieldPosition="0">
        <references count="2">
          <reference field="4294967294" count="1" selected="0">
            <x v="0"/>
          </reference>
          <reference field="9" count="1" selected="0">
            <x v="1"/>
          </reference>
        </references>
      </pivotArea>
    </chartFormat>
    <chartFormat chart="0" format="12" series="1">
      <pivotArea type="data" outline="0" fieldPosition="0">
        <references count="1">
          <reference field="4294967294" count="1" selected="0">
            <x v="0"/>
          </reference>
        </references>
      </pivotArea>
    </chartFormat>
    <chartFormat chart="0" format="13">
      <pivotArea type="data" outline="0" fieldPosition="0">
        <references count="2">
          <reference field="4294967294" count="1" selected="0">
            <x v="0"/>
          </reference>
          <reference field="9" count="1" selected="0">
            <x v="0"/>
          </reference>
        </references>
      </pivotArea>
    </chartFormat>
    <chartFormat chart="0" format="14">
      <pivotArea type="data" outline="0" fieldPosition="0">
        <references count="2">
          <reference field="4294967294" count="1" selected="0">
            <x v="0"/>
          </reference>
          <reference field="9" count="1" selected="0">
            <x v="1"/>
          </reference>
        </references>
      </pivotArea>
    </chartFormat>
    <chartFormat chart="0" format="15">
      <pivotArea type="data" outline="0" fieldPosition="0">
        <references count="2">
          <reference field="4294967294" count="1" selected="0">
            <x v="0"/>
          </reference>
          <reference field="9" count="1" selected="0">
            <x v="2"/>
          </reference>
        </references>
      </pivotArea>
    </chartFormat>
    <chartFormat chart="19" format="20" series="1">
      <pivotArea type="data" outline="0" fieldPosition="0">
        <references count="1">
          <reference field="4294967294" count="1" selected="0">
            <x v="0"/>
          </reference>
        </references>
      </pivotArea>
    </chartFormat>
    <chartFormat chart="19" format="21">
      <pivotArea type="data" outline="0" fieldPosition="0">
        <references count="2">
          <reference field="4294967294" count="1" selected="0">
            <x v="0"/>
          </reference>
          <reference field="9" count="1" selected="0">
            <x v="0"/>
          </reference>
        </references>
      </pivotArea>
    </chartFormat>
    <chartFormat chart="19" format="22">
      <pivotArea type="data" outline="0" fieldPosition="0">
        <references count="2">
          <reference field="4294967294" count="1" selected="0">
            <x v="0"/>
          </reference>
          <reference field="9" count="1" selected="0">
            <x v="1"/>
          </reference>
        </references>
      </pivotArea>
    </chartFormat>
    <chartFormat chart="19" format="23">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BC7E442-2ED1-4C9A-9CE1-E05948FEC974}" sourceName="Brand">
  <pivotTables>
    <pivotTable tabId="2" name="BRAND  OF CARS "/>
    <pivotTable tabId="2" name="FUEL TYPE OF CARS"/>
    <pivotTable tabId="2" name="PivotTable3"/>
    <pivotTable tabId="2" name="PivotTable4"/>
    <pivotTable tabId="2" name="PivotTable5"/>
    <pivotTable tabId="2" name="PivotTable6"/>
  </pivotTables>
  <data>
    <tabular pivotCacheId="1684035865">
      <items count="7">
        <i x="2"/>
        <i x="5" s="1"/>
        <i x="1" s="1"/>
        <i x="3"/>
        <i x="6" s="1"/>
        <i x="4"/>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el_Type" xr10:uid="{D9108EA5-C456-4439-9CE1-E30DFEF41DF1}" sourceName="Fuel_Type">
  <pivotTables>
    <pivotTable tabId="2" name="FUEL TYPE OF CARS"/>
    <pivotTable tabId="2" name="BRAND  OF CARS "/>
    <pivotTable tabId="2" name="PivotTable3"/>
    <pivotTable tabId="2" name="PivotTable4"/>
    <pivotTable tabId="2" name="PivotTable5"/>
    <pivotTable tabId="2" name="PivotTable6"/>
  </pivotTables>
  <data>
    <tabular pivotCacheId="1684035865">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mission" xr10:uid="{83ACD4B8-68FD-45D8-977F-007F0EA039F8}" sourceName="Transmission">
  <pivotTables>
    <pivotTable tabId="2" name="PivotTable3"/>
    <pivotTable tabId="2" name="BRAND  OF CARS "/>
    <pivotTable tabId="2" name="FUEL TYPE OF CARS"/>
    <pivotTable tabId="2" name="PivotTable4"/>
    <pivotTable tabId="2" name="PivotTable5"/>
    <pivotTable tabId="2" name="PivotTable6"/>
  </pivotTables>
  <data>
    <tabular pivotCacheId="1684035865">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7BE83C27-ED57-47F1-BF2E-8767B654530E}" cache="Slicer_Brand" caption="Brand" rowHeight="234950"/>
  <slicer name="Fuel_Type" xr10:uid="{3237FB97-FF73-4FF6-8ECA-E7AF8447FCFC}" cache="Slicer_Fuel_Type" caption="Fuel_Type" rowHeight="234950"/>
  <slicer name="Transmission" xr10:uid="{B23F1FAD-2063-476E-AC6F-6686C365FB25}" cache="Slicer_Transmission" caption="Transmiss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D5852AAB-F4D6-4214-9779-45BDB353522B}" cache="Slicer_Brand" caption="Brand" rowHeight="234950"/>
  <slicer name="Fuel_Type 1" xr10:uid="{A247CE2F-76A8-445E-ADA4-8A2F595967F4}" cache="Slicer_Fuel_Type" caption="Fuel_Type" rowHeight="234950"/>
  <slicer name="Transmission 1" xr10:uid="{33645422-DB1F-4E41-84B5-1CC300B95FD6}" cache="Slicer_Transmission" caption="Transmiss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01"/>
  <sheetViews>
    <sheetView workbookViewId="0">
      <selection activeCell="L10" sqref="L10"/>
    </sheetView>
  </sheetViews>
  <sheetFormatPr defaultRowHeight="14.4" x14ac:dyDescent="0.3"/>
  <cols>
    <col min="3" max="3" width="10.44140625" bestFit="1" customWidth="1"/>
    <col min="4" max="4" width="11" bestFit="1" customWidth="1"/>
    <col min="5" max="5" width="6.88671875" customWidth="1"/>
    <col min="6" max="6" width="6.77734375" bestFit="1" customWidth="1"/>
    <col min="7" max="7" width="11.33203125" customWidth="1"/>
    <col min="10" max="10" width="14.10937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v>3.3</v>
      </c>
      <c r="D2">
        <v>437</v>
      </c>
      <c r="E2">
        <v>59</v>
      </c>
      <c r="F2">
        <v>2700</v>
      </c>
      <c r="G2">
        <v>4.7</v>
      </c>
      <c r="H2">
        <v>4</v>
      </c>
      <c r="I2" t="s">
        <v>12</v>
      </c>
      <c r="J2" t="s">
        <v>13</v>
      </c>
    </row>
    <row r="3" spans="1:10" x14ac:dyDescent="0.3">
      <c r="A3" t="s">
        <v>14</v>
      </c>
      <c r="B3" t="s">
        <v>15</v>
      </c>
      <c r="C3">
        <v>4.7</v>
      </c>
      <c r="D3">
        <v>309</v>
      </c>
      <c r="E3">
        <v>68</v>
      </c>
      <c r="F3">
        <v>2932</v>
      </c>
      <c r="G3">
        <v>4.4000000000000004</v>
      </c>
      <c r="H3">
        <v>6</v>
      </c>
      <c r="I3" t="s">
        <v>12</v>
      </c>
      <c r="J3" t="s">
        <v>16</v>
      </c>
    </row>
    <row r="4" spans="1:10" x14ac:dyDescent="0.3">
      <c r="A4" t="s">
        <v>17</v>
      </c>
      <c r="B4" t="s">
        <v>18</v>
      </c>
      <c r="C4">
        <v>2.4</v>
      </c>
      <c r="D4">
        <v>248</v>
      </c>
      <c r="E4">
        <v>101</v>
      </c>
      <c r="F4">
        <v>3331</v>
      </c>
      <c r="G4">
        <v>3.8</v>
      </c>
      <c r="H4">
        <v>6</v>
      </c>
      <c r="I4" t="s">
        <v>19</v>
      </c>
      <c r="J4" t="s">
        <v>16</v>
      </c>
    </row>
    <row r="5" spans="1:10" x14ac:dyDescent="0.3">
      <c r="A5" t="s">
        <v>20</v>
      </c>
      <c r="B5" t="s">
        <v>11</v>
      </c>
      <c r="C5">
        <v>4.8</v>
      </c>
      <c r="D5">
        <v>459</v>
      </c>
      <c r="E5">
        <v>92</v>
      </c>
      <c r="F5">
        <v>3891</v>
      </c>
      <c r="G5">
        <v>4.2</v>
      </c>
      <c r="H5">
        <v>8</v>
      </c>
      <c r="I5" t="s">
        <v>12</v>
      </c>
      <c r="J5" t="s">
        <v>16</v>
      </c>
    </row>
    <row r="6" spans="1:10" x14ac:dyDescent="0.3">
      <c r="A6" t="s">
        <v>21</v>
      </c>
      <c r="B6" t="s">
        <v>15</v>
      </c>
      <c r="C6">
        <v>4.5999999999999996</v>
      </c>
      <c r="D6">
        <v>369</v>
      </c>
      <c r="E6">
        <v>66</v>
      </c>
      <c r="F6">
        <v>3004</v>
      </c>
      <c r="G6">
        <v>6.4</v>
      </c>
      <c r="H6">
        <v>8</v>
      </c>
      <c r="I6" t="s">
        <v>19</v>
      </c>
      <c r="J6" t="s">
        <v>22</v>
      </c>
    </row>
    <row r="7" spans="1:10" x14ac:dyDescent="0.3">
      <c r="A7" t="s">
        <v>23</v>
      </c>
      <c r="B7" t="s">
        <v>18</v>
      </c>
      <c r="C7">
        <v>2.1</v>
      </c>
      <c r="D7">
        <v>250</v>
      </c>
      <c r="E7">
        <v>32</v>
      </c>
      <c r="F7">
        <v>3954</v>
      </c>
      <c r="G7">
        <v>8.6999999999999993</v>
      </c>
      <c r="H7">
        <v>8</v>
      </c>
      <c r="I7" t="s">
        <v>24</v>
      </c>
      <c r="J7" t="s">
        <v>22</v>
      </c>
    </row>
    <row r="8" spans="1:10" x14ac:dyDescent="0.3">
      <c r="A8" t="s">
        <v>25</v>
      </c>
      <c r="B8" t="s">
        <v>15</v>
      </c>
      <c r="C8">
        <v>3.5</v>
      </c>
      <c r="D8">
        <v>262</v>
      </c>
      <c r="E8">
        <v>36</v>
      </c>
      <c r="F8">
        <v>4080</v>
      </c>
      <c r="G8">
        <v>3.4</v>
      </c>
      <c r="H8">
        <v>4</v>
      </c>
      <c r="I8" t="s">
        <v>19</v>
      </c>
      <c r="J8" t="s">
        <v>22</v>
      </c>
    </row>
    <row r="9" spans="1:10" x14ac:dyDescent="0.3">
      <c r="A9" t="s">
        <v>26</v>
      </c>
      <c r="B9" t="s">
        <v>27</v>
      </c>
      <c r="C9">
        <v>1.6</v>
      </c>
      <c r="D9">
        <v>151</v>
      </c>
      <c r="E9">
        <v>69</v>
      </c>
      <c r="F9">
        <v>2658</v>
      </c>
      <c r="G9">
        <v>9.9</v>
      </c>
      <c r="H9">
        <v>8</v>
      </c>
      <c r="I9" t="s">
        <v>24</v>
      </c>
      <c r="J9" t="s">
        <v>13</v>
      </c>
    </row>
    <row r="10" spans="1:10" x14ac:dyDescent="0.3">
      <c r="A10" t="s">
        <v>28</v>
      </c>
      <c r="B10" t="s">
        <v>15</v>
      </c>
      <c r="C10">
        <v>2.1</v>
      </c>
      <c r="D10">
        <v>111</v>
      </c>
      <c r="E10">
        <v>32</v>
      </c>
      <c r="F10">
        <v>4407</v>
      </c>
      <c r="G10">
        <v>7.2</v>
      </c>
      <c r="H10">
        <v>4</v>
      </c>
      <c r="I10" t="s">
        <v>24</v>
      </c>
      <c r="J10" t="s">
        <v>22</v>
      </c>
    </row>
    <row r="11" spans="1:10" x14ac:dyDescent="0.3">
      <c r="A11" t="s">
        <v>29</v>
      </c>
      <c r="B11" t="s">
        <v>30</v>
      </c>
      <c r="C11">
        <v>4.2</v>
      </c>
      <c r="D11">
        <v>221</v>
      </c>
      <c r="E11">
        <v>23</v>
      </c>
      <c r="F11">
        <v>2525</v>
      </c>
      <c r="G11">
        <v>9.1</v>
      </c>
      <c r="H11">
        <v>4</v>
      </c>
      <c r="I11" t="s">
        <v>19</v>
      </c>
      <c r="J11" t="s">
        <v>16</v>
      </c>
    </row>
    <row r="12" spans="1:10" x14ac:dyDescent="0.3">
      <c r="A12" t="s">
        <v>31</v>
      </c>
      <c r="B12" t="s">
        <v>30</v>
      </c>
      <c r="C12">
        <v>3.1</v>
      </c>
      <c r="D12">
        <v>301</v>
      </c>
      <c r="E12">
        <v>31</v>
      </c>
      <c r="F12">
        <v>3398</v>
      </c>
      <c r="G12">
        <v>6.9</v>
      </c>
      <c r="H12">
        <v>4</v>
      </c>
      <c r="I12" t="s">
        <v>19</v>
      </c>
      <c r="J12" t="s">
        <v>16</v>
      </c>
    </row>
    <row r="13" spans="1:10" x14ac:dyDescent="0.3">
      <c r="A13" t="s">
        <v>32</v>
      </c>
      <c r="B13" t="s">
        <v>27</v>
      </c>
      <c r="C13">
        <v>1.7</v>
      </c>
      <c r="D13">
        <v>428</v>
      </c>
      <c r="E13">
        <v>42</v>
      </c>
      <c r="F13">
        <v>3947</v>
      </c>
      <c r="G13">
        <v>8.5</v>
      </c>
      <c r="H13">
        <v>4</v>
      </c>
      <c r="I13" t="s">
        <v>12</v>
      </c>
      <c r="J13" t="s">
        <v>16</v>
      </c>
    </row>
    <row r="14" spans="1:10" x14ac:dyDescent="0.3">
      <c r="A14" t="s">
        <v>33</v>
      </c>
      <c r="B14" t="s">
        <v>18</v>
      </c>
      <c r="C14">
        <v>2.8</v>
      </c>
      <c r="D14">
        <v>399</v>
      </c>
      <c r="E14">
        <v>47</v>
      </c>
      <c r="F14">
        <v>3223</v>
      </c>
      <c r="G14">
        <v>3.7</v>
      </c>
      <c r="H14">
        <v>6</v>
      </c>
      <c r="I14" t="s">
        <v>24</v>
      </c>
      <c r="J14" t="s">
        <v>16</v>
      </c>
    </row>
    <row r="15" spans="1:10" x14ac:dyDescent="0.3">
      <c r="A15" t="s">
        <v>34</v>
      </c>
      <c r="B15" t="s">
        <v>11</v>
      </c>
      <c r="C15">
        <v>3.3</v>
      </c>
      <c r="D15">
        <v>444</v>
      </c>
      <c r="E15">
        <v>94</v>
      </c>
      <c r="F15">
        <v>4490</v>
      </c>
      <c r="G15">
        <v>8.3000000000000007</v>
      </c>
      <c r="H15">
        <v>6</v>
      </c>
      <c r="I15" t="s">
        <v>19</v>
      </c>
      <c r="J15" t="s">
        <v>13</v>
      </c>
    </row>
    <row r="16" spans="1:10" x14ac:dyDescent="0.3">
      <c r="A16" t="s">
        <v>35</v>
      </c>
      <c r="B16" t="s">
        <v>18</v>
      </c>
      <c r="C16">
        <v>2.8</v>
      </c>
      <c r="D16">
        <v>135</v>
      </c>
      <c r="E16">
        <v>113</v>
      </c>
      <c r="F16">
        <v>3261</v>
      </c>
      <c r="G16">
        <v>7.3</v>
      </c>
      <c r="H16">
        <v>4</v>
      </c>
      <c r="I16" t="s">
        <v>19</v>
      </c>
      <c r="J16" t="s">
        <v>22</v>
      </c>
    </row>
    <row r="17" spans="1:10" x14ac:dyDescent="0.3">
      <c r="A17" t="s">
        <v>36</v>
      </c>
      <c r="B17" t="s">
        <v>11</v>
      </c>
      <c r="C17">
        <v>1</v>
      </c>
      <c r="D17">
        <v>391</v>
      </c>
      <c r="E17">
        <v>15</v>
      </c>
      <c r="F17">
        <v>3268</v>
      </c>
      <c r="G17">
        <v>3.7</v>
      </c>
      <c r="H17">
        <v>6</v>
      </c>
      <c r="I17" t="s">
        <v>24</v>
      </c>
      <c r="J17" t="s">
        <v>22</v>
      </c>
    </row>
    <row r="18" spans="1:10" x14ac:dyDescent="0.3">
      <c r="A18" t="s">
        <v>37</v>
      </c>
      <c r="B18" t="s">
        <v>38</v>
      </c>
      <c r="C18">
        <v>4.9000000000000004</v>
      </c>
      <c r="D18">
        <v>107</v>
      </c>
      <c r="E18">
        <v>106</v>
      </c>
      <c r="F18">
        <v>4426</v>
      </c>
      <c r="G18">
        <v>5.2</v>
      </c>
      <c r="H18">
        <v>6</v>
      </c>
      <c r="I18" t="s">
        <v>19</v>
      </c>
      <c r="J18" t="s">
        <v>13</v>
      </c>
    </row>
    <row r="19" spans="1:10" x14ac:dyDescent="0.3">
      <c r="A19" t="s">
        <v>39</v>
      </c>
      <c r="B19" t="s">
        <v>30</v>
      </c>
      <c r="C19">
        <v>3</v>
      </c>
      <c r="D19">
        <v>320</v>
      </c>
      <c r="E19">
        <v>44</v>
      </c>
      <c r="F19">
        <v>4208</v>
      </c>
      <c r="G19">
        <v>8.5</v>
      </c>
      <c r="H19">
        <v>8</v>
      </c>
      <c r="I19" t="s">
        <v>12</v>
      </c>
      <c r="J19" t="s">
        <v>16</v>
      </c>
    </row>
    <row r="20" spans="1:10" x14ac:dyDescent="0.3">
      <c r="A20" t="s">
        <v>40</v>
      </c>
      <c r="B20" t="s">
        <v>41</v>
      </c>
      <c r="C20">
        <v>2.9</v>
      </c>
      <c r="D20">
        <v>253</v>
      </c>
      <c r="E20">
        <v>91</v>
      </c>
      <c r="F20">
        <v>2942</v>
      </c>
      <c r="G20">
        <v>8.1999999999999993</v>
      </c>
      <c r="H20">
        <v>8</v>
      </c>
      <c r="I20" t="s">
        <v>24</v>
      </c>
      <c r="J20" t="s">
        <v>22</v>
      </c>
    </row>
    <row r="21" spans="1:10" x14ac:dyDescent="0.3">
      <c r="A21" t="s">
        <v>42</v>
      </c>
      <c r="B21" t="s">
        <v>18</v>
      </c>
      <c r="C21">
        <v>4.8</v>
      </c>
      <c r="D21">
        <v>279</v>
      </c>
      <c r="E21">
        <v>79</v>
      </c>
      <c r="F21">
        <v>3676</v>
      </c>
      <c r="G21">
        <v>8</v>
      </c>
      <c r="H21">
        <v>8</v>
      </c>
      <c r="I21" t="s">
        <v>19</v>
      </c>
      <c r="J21" t="s">
        <v>22</v>
      </c>
    </row>
    <row r="22" spans="1:10" x14ac:dyDescent="0.3">
      <c r="A22" t="s">
        <v>43</v>
      </c>
      <c r="B22" t="s">
        <v>11</v>
      </c>
      <c r="C22">
        <v>2</v>
      </c>
      <c r="D22">
        <v>300</v>
      </c>
      <c r="E22">
        <v>25</v>
      </c>
      <c r="F22">
        <v>3955</v>
      </c>
      <c r="G22">
        <v>8</v>
      </c>
      <c r="H22">
        <v>8</v>
      </c>
      <c r="I22" t="s">
        <v>19</v>
      </c>
      <c r="J22" t="s">
        <v>22</v>
      </c>
    </row>
    <row r="23" spans="1:10" x14ac:dyDescent="0.3">
      <c r="A23" t="s">
        <v>44</v>
      </c>
      <c r="B23" t="s">
        <v>11</v>
      </c>
      <c r="C23">
        <v>4.8</v>
      </c>
      <c r="D23">
        <v>372</v>
      </c>
      <c r="E23">
        <v>67</v>
      </c>
      <c r="F23">
        <v>3168</v>
      </c>
      <c r="G23">
        <v>8.6</v>
      </c>
      <c r="H23">
        <v>8</v>
      </c>
      <c r="I23" t="s">
        <v>12</v>
      </c>
      <c r="J23" t="s">
        <v>22</v>
      </c>
    </row>
    <row r="24" spans="1:10" x14ac:dyDescent="0.3">
      <c r="A24" t="s">
        <v>45</v>
      </c>
      <c r="B24" t="s">
        <v>30</v>
      </c>
      <c r="C24">
        <v>1.4</v>
      </c>
      <c r="D24">
        <v>175</v>
      </c>
      <c r="E24">
        <v>49</v>
      </c>
      <c r="F24">
        <v>3946</v>
      </c>
      <c r="G24">
        <v>6.5</v>
      </c>
      <c r="H24">
        <v>4</v>
      </c>
      <c r="I24" t="s">
        <v>12</v>
      </c>
      <c r="J24" t="s">
        <v>16</v>
      </c>
    </row>
    <row r="25" spans="1:10" x14ac:dyDescent="0.3">
      <c r="A25" t="s">
        <v>46</v>
      </c>
      <c r="B25" t="s">
        <v>15</v>
      </c>
      <c r="C25">
        <v>2.2000000000000002</v>
      </c>
      <c r="D25">
        <v>210</v>
      </c>
      <c r="E25">
        <v>112</v>
      </c>
      <c r="F25">
        <v>2553</v>
      </c>
      <c r="G25">
        <v>3.1</v>
      </c>
      <c r="H25">
        <v>4</v>
      </c>
      <c r="I25" t="s">
        <v>24</v>
      </c>
      <c r="J25" t="s">
        <v>22</v>
      </c>
    </row>
    <row r="26" spans="1:10" x14ac:dyDescent="0.3">
      <c r="A26" t="s">
        <v>47</v>
      </c>
      <c r="B26" t="s">
        <v>30</v>
      </c>
      <c r="C26">
        <v>5</v>
      </c>
      <c r="D26">
        <v>454</v>
      </c>
      <c r="E26">
        <v>117</v>
      </c>
      <c r="F26">
        <v>2615</v>
      </c>
      <c r="G26">
        <v>8.6</v>
      </c>
      <c r="H26">
        <v>4</v>
      </c>
      <c r="I26" t="s">
        <v>12</v>
      </c>
      <c r="J26" t="s">
        <v>13</v>
      </c>
    </row>
    <row r="27" spans="1:10" x14ac:dyDescent="0.3">
      <c r="A27" t="s">
        <v>48</v>
      </c>
      <c r="B27" t="s">
        <v>38</v>
      </c>
      <c r="C27">
        <v>4</v>
      </c>
      <c r="D27">
        <v>193</v>
      </c>
      <c r="E27">
        <v>52</v>
      </c>
      <c r="F27">
        <v>4132</v>
      </c>
      <c r="G27">
        <v>4.3</v>
      </c>
      <c r="H27">
        <v>6</v>
      </c>
      <c r="I27" t="s">
        <v>12</v>
      </c>
      <c r="J27" t="s">
        <v>22</v>
      </c>
    </row>
    <row r="28" spans="1:10" x14ac:dyDescent="0.3">
      <c r="A28" t="s">
        <v>49</v>
      </c>
      <c r="B28" t="s">
        <v>15</v>
      </c>
      <c r="C28">
        <v>3.9</v>
      </c>
      <c r="D28">
        <v>190</v>
      </c>
      <c r="E28">
        <v>34</v>
      </c>
      <c r="F28">
        <v>4204</v>
      </c>
      <c r="G28">
        <v>3.6</v>
      </c>
      <c r="H28">
        <v>6</v>
      </c>
      <c r="I28" t="s">
        <v>24</v>
      </c>
      <c r="J28" t="s">
        <v>13</v>
      </c>
    </row>
    <row r="29" spans="1:10" x14ac:dyDescent="0.3">
      <c r="A29" t="s">
        <v>50</v>
      </c>
      <c r="B29" t="s">
        <v>41</v>
      </c>
      <c r="C29">
        <v>2.7</v>
      </c>
      <c r="D29">
        <v>401</v>
      </c>
      <c r="E29">
        <v>77</v>
      </c>
      <c r="F29">
        <v>4331</v>
      </c>
      <c r="G29">
        <v>7.5</v>
      </c>
      <c r="H29">
        <v>8</v>
      </c>
      <c r="I29" t="s">
        <v>12</v>
      </c>
      <c r="J29" t="s">
        <v>13</v>
      </c>
    </row>
    <row r="30" spans="1:10" x14ac:dyDescent="0.3">
      <c r="A30" t="s">
        <v>51</v>
      </c>
      <c r="B30" t="s">
        <v>15</v>
      </c>
      <c r="C30">
        <v>2.9</v>
      </c>
      <c r="D30">
        <v>489</v>
      </c>
      <c r="E30">
        <v>43</v>
      </c>
      <c r="F30">
        <v>2595</v>
      </c>
      <c r="G30">
        <v>3.6</v>
      </c>
      <c r="H30">
        <v>8</v>
      </c>
      <c r="I30" t="s">
        <v>12</v>
      </c>
      <c r="J30" t="s">
        <v>16</v>
      </c>
    </row>
    <row r="31" spans="1:10" x14ac:dyDescent="0.3">
      <c r="A31" t="s">
        <v>52</v>
      </c>
      <c r="B31" t="s">
        <v>38</v>
      </c>
      <c r="C31">
        <v>1.8</v>
      </c>
      <c r="D31">
        <v>176</v>
      </c>
      <c r="E31">
        <v>71</v>
      </c>
      <c r="F31">
        <v>3288</v>
      </c>
      <c r="G31">
        <v>4.8</v>
      </c>
      <c r="H31">
        <v>4</v>
      </c>
      <c r="I31" t="s">
        <v>12</v>
      </c>
      <c r="J31" t="s">
        <v>22</v>
      </c>
    </row>
    <row r="32" spans="1:10" x14ac:dyDescent="0.3">
      <c r="A32" t="s">
        <v>53</v>
      </c>
      <c r="B32" t="s">
        <v>18</v>
      </c>
      <c r="C32">
        <v>1.5</v>
      </c>
      <c r="D32">
        <v>232</v>
      </c>
      <c r="E32">
        <v>106</v>
      </c>
      <c r="F32">
        <v>4250</v>
      </c>
      <c r="G32">
        <v>4.9000000000000004</v>
      </c>
      <c r="H32">
        <v>8</v>
      </c>
      <c r="I32" t="s">
        <v>24</v>
      </c>
      <c r="J32" t="s">
        <v>16</v>
      </c>
    </row>
    <row r="33" spans="1:10" x14ac:dyDescent="0.3">
      <c r="A33" t="s">
        <v>54</v>
      </c>
      <c r="B33" t="s">
        <v>15</v>
      </c>
      <c r="C33">
        <v>1.5</v>
      </c>
      <c r="D33">
        <v>150</v>
      </c>
      <c r="E33">
        <v>96</v>
      </c>
      <c r="F33">
        <v>3912</v>
      </c>
      <c r="G33">
        <v>8.9</v>
      </c>
      <c r="H33">
        <v>8</v>
      </c>
      <c r="I33" t="s">
        <v>12</v>
      </c>
      <c r="J33" t="s">
        <v>13</v>
      </c>
    </row>
    <row r="34" spans="1:10" x14ac:dyDescent="0.3">
      <c r="A34" t="s">
        <v>55</v>
      </c>
      <c r="B34" t="s">
        <v>38</v>
      </c>
      <c r="C34">
        <v>3.4</v>
      </c>
      <c r="D34">
        <v>243</v>
      </c>
      <c r="E34">
        <v>74</v>
      </c>
      <c r="F34">
        <v>2944</v>
      </c>
      <c r="G34">
        <v>7.1</v>
      </c>
      <c r="H34">
        <v>6</v>
      </c>
      <c r="I34" t="s">
        <v>12</v>
      </c>
      <c r="J34" t="s">
        <v>22</v>
      </c>
    </row>
    <row r="35" spans="1:10" x14ac:dyDescent="0.3">
      <c r="A35" t="s">
        <v>56</v>
      </c>
      <c r="B35" t="s">
        <v>30</v>
      </c>
      <c r="C35">
        <v>3</v>
      </c>
      <c r="D35">
        <v>237</v>
      </c>
      <c r="E35">
        <v>28</v>
      </c>
      <c r="F35">
        <v>2721</v>
      </c>
      <c r="G35">
        <v>4.3</v>
      </c>
      <c r="H35">
        <v>6</v>
      </c>
      <c r="I35" t="s">
        <v>12</v>
      </c>
      <c r="J35" t="s">
        <v>22</v>
      </c>
    </row>
    <row r="36" spans="1:10" x14ac:dyDescent="0.3">
      <c r="A36" t="s">
        <v>57</v>
      </c>
      <c r="B36" t="s">
        <v>27</v>
      </c>
      <c r="C36">
        <v>2.6</v>
      </c>
      <c r="D36">
        <v>141</v>
      </c>
      <c r="E36">
        <v>112</v>
      </c>
      <c r="F36">
        <v>3941</v>
      </c>
      <c r="G36">
        <v>6.2</v>
      </c>
      <c r="H36">
        <v>4</v>
      </c>
      <c r="I36" t="s">
        <v>19</v>
      </c>
      <c r="J36" t="s">
        <v>22</v>
      </c>
    </row>
    <row r="37" spans="1:10" x14ac:dyDescent="0.3">
      <c r="A37" t="s">
        <v>58</v>
      </c>
      <c r="B37" t="s">
        <v>38</v>
      </c>
      <c r="C37">
        <v>3</v>
      </c>
      <c r="D37">
        <v>353</v>
      </c>
      <c r="E37">
        <v>18</v>
      </c>
      <c r="F37">
        <v>3582</v>
      </c>
      <c r="G37">
        <v>9.5</v>
      </c>
      <c r="H37">
        <v>6</v>
      </c>
      <c r="I37" t="s">
        <v>24</v>
      </c>
      <c r="J37" t="s">
        <v>13</v>
      </c>
    </row>
    <row r="38" spans="1:10" x14ac:dyDescent="0.3">
      <c r="A38" t="s">
        <v>59</v>
      </c>
      <c r="B38" t="s">
        <v>38</v>
      </c>
      <c r="C38">
        <v>4</v>
      </c>
      <c r="D38">
        <v>146</v>
      </c>
      <c r="E38">
        <v>38</v>
      </c>
      <c r="F38">
        <v>4011</v>
      </c>
      <c r="G38">
        <v>7.2</v>
      </c>
      <c r="H38">
        <v>6</v>
      </c>
      <c r="I38" t="s">
        <v>12</v>
      </c>
      <c r="J38" t="s">
        <v>22</v>
      </c>
    </row>
    <row r="39" spans="1:10" x14ac:dyDescent="0.3">
      <c r="A39" t="s">
        <v>60</v>
      </c>
      <c r="B39" t="s">
        <v>38</v>
      </c>
      <c r="C39">
        <v>3.4</v>
      </c>
      <c r="D39">
        <v>176</v>
      </c>
      <c r="E39">
        <v>84</v>
      </c>
      <c r="F39">
        <v>4241</v>
      </c>
      <c r="G39">
        <v>4.9000000000000004</v>
      </c>
      <c r="H39">
        <v>8</v>
      </c>
      <c r="I39" t="s">
        <v>19</v>
      </c>
      <c r="J39" t="s">
        <v>22</v>
      </c>
    </row>
    <row r="40" spans="1:10" x14ac:dyDescent="0.3">
      <c r="A40" t="s">
        <v>61</v>
      </c>
      <c r="B40" t="s">
        <v>27</v>
      </c>
      <c r="C40">
        <v>3.8</v>
      </c>
      <c r="D40">
        <v>304</v>
      </c>
      <c r="E40">
        <v>111</v>
      </c>
      <c r="F40">
        <v>4243</v>
      </c>
      <c r="G40">
        <v>7.8</v>
      </c>
      <c r="H40">
        <v>4</v>
      </c>
      <c r="I40" t="s">
        <v>19</v>
      </c>
      <c r="J40" t="s">
        <v>22</v>
      </c>
    </row>
    <row r="41" spans="1:10" x14ac:dyDescent="0.3">
      <c r="A41" t="s">
        <v>62</v>
      </c>
      <c r="B41" t="s">
        <v>18</v>
      </c>
      <c r="C41">
        <v>2.8</v>
      </c>
      <c r="D41">
        <v>220</v>
      </c>
      <c r="E41">
        <v>112</v>
      </c>
      <c r="F41">
        <v>4325</v>
      </c>
      <c r="G41">
        <v>6.8</v>
      </c>
      <c r="H41">
        <v>4</v>
      </c>
      <c r="I41" t="s">
        <v>24</v>
      </c>
      <c r="J41" t="s">
        <v>13</v>
      </c>
    </row>
    <row r="42" spans="1:10" x14ac:dyDescent="0.3">
      <c r="A42" t="s">
        <v>63</v>
      </c>
      <c r="B42" t="s">
        <v>27</v>
      </c>
      <c r="C42">
        <v>4.5999999999999996</v>
      </c>
      <c r="D42">
        <v>277</v>
      </c>
      <c r="E42">
        <v>71</v>
      </c>
      <c r="F42">
        <v>3431</v>
      </c>
      <c r="G42">
        <v>7</v>
      </c>
      <c r="H42">
        <v>8</v>
      </c>
      <c r="I42" t="s">
        <v>19</v>
      </c>
      <c r="J42" t="s">
        <v>22</v>
      </c>
    </row>
    <row r="43" spans="1:10" x14ac:dyDescent="0.3">
      <c r="A43" t="s">
        <v>64</v>
      </c>
      <c r="B43" t="s">
        <v>15</v>
      </c>
      <c r="C43">
        <v>3.7</v>
      </c>
      <c r="D43">
        <v>145</v>
      </c>
      <c r="E43">
        <v>83</v>
      </c>
      <c r="F43">
        <v>3572</v>
      </c>
      <c r="G43">
        <v>6.6</v>
      </c>
      <c r="H43">
        <v>8</v>
      </c>
      <c r="I43" t="s">
        <v>24</v>
      </c>
      <c r="J43" t="s">
        <v>22</v>
      </c>
    </row>
    <row r="44" spans="1:10" x14ac:dyDescent="0.3">
      <c r="A44" t="s">
        <v>65</v>
      </c>
      <c r="B44" t="s">
        <v>15</v>
      </c>
      <c r="C44">
        <v>1.6</v>
      </c>
      <c r="D44">
        <v>201</v>
      </c>
      <c r="E44">
        <v>60</v>
      </c>
      <c r="F44">
        <v>2722</v>
      </c>
      <c r="G44">
        <v>8.6</v>
      </c>
      <c r="H44">
        <v>8</v>
      </c>
      <c r="I44" t="s">
        <v>24</v>
      </c>
      <c r="J44" t="s">
        <v>16</v>
      </c>
    </row>
    <row r="45" spans="1:10" x14ac:dyDescent="0.3">
      <c r="A45" t="s">
        <v>66</v>
      </c>
      <c r="B45" t="s">
        <v>27</v>
      </c>
      <c r="C45">
        <v>2.2999999999999998</v>
      </c>
      <c r="D45">
        <v>201</v>
      </c>
      <c r="E45">
        <v>25</v>
      </c>
      <c r="F45">
        <v>4279</v>
      </c>
      <c r="G45">
        <v>10</v>
      </c>
      <c r="H45">
        <v>8</v>
      </c>
      <c r="I45" t="s">
        <v>24</v>
      </c>
      <c r="J45" t="s">
        <v>13</v>
      </c>
    </row>
    <row r="46" spans="1:10" x14ac:dyDescent="0.3">
      <c r="A46" t="s">
        <v>67</v>
      </c>
      <c r="B46" t="s">
        <v>11</v>
      </c>
      <c r="C46">
        <v>3.2</v>
      </c>
      <c r="D46">
        <v>195</v>
      </c>
      <c r="E46">
        <v>57</v>
      </c>
      <c r="F46">
        <v>4197</v>
      </c>
      <c r="G46">
        <v>5.8</v>
      </c>
      <c r="H46">
        <v>4</v>
      </c>
      <c r="I46" t="s">
        <v>12</v>
      </c>
      <c r="J46" t="s">
        <v>13</v>
      </c>
    </row>
    <row r="47" spans="1:10" x14ac:dyDescent="0.3">
      <c r="A47" t="s">
        <v>68</v>
      </c>
      <c r="B47" t="s">
        <v>11</v>
      </c>
      <c r="C47">
        <v>2.2999999999999998</v>
      </c>
      <c r="D47">
        <v>336</v>
      </c>
      <c r="E47">
        <v>117</v>
      </c>
      <c r="F47">
        <v>3565</v>
      </c>
      <c r="G47">
        <v>8.8000000000000007</v>
      </c>
      <c r="H47">
        <v>6</v>
      </c>
      <c r="I47" t="s">
        <v>12</v>
      </c>
      <c r="J47" t="s">
        <v>16</v>
      </c>
    </row>
    <row r="48" spans="1:10" x14ac:dyDescent="0.3">
      <c r="A48" t="s">
        <v>69</v>
      </c>
      <c r="B48" t="s">
        <v>30</v>
      </c>
      <c r="C48">
        <v>1.4</v>
      </c>
      <c r="D48">
        <v>199</v>
      </c>
      <c r="E48">
        <v>68</v>
      </c>
      <c r="F48">
        <v>4174</v>
      </c>
      <c r="G48">
        <v>7</v>
      </c>
      <c r="H48">
        <v>4</v>
      </c>
      <c r="I48" t="s">
        <v>24</v>
      </c>
      <c r="J48" t="s">
        <v>22</v>
      </c>
    </row>
    <row r="49" spans="1:10" x14ac:dyDescent="0.3">
      <c r="A49" t="s">
        <v>70</v>
      </c>
      <c r="B49" t="s">
        <v>30</v>
      </c>
      <c r="C49">
        <v>1.7</v>
      </c>
      <c r="D49">
        <v>266</v>
      </c>
      <c r="E49">
        <v>23</v>
      </c>
      <c r="F49">
        <v>2834</v>
      </c>
      <c r="G49">
        <v>4.8</v>
      </c>
      <c r="H49">
        <v>4</v>
      </c>
      <c r="I49" t="s">
        <v>19</v>
      </c>
      <c r="J49" t="s">
        <v>13</v>
      </c>
    </row>
    <row r="50" spans="1:10" x14ac:dyDescent="0.3">
      <c r="A50" t="s">
        <v>71</v>
      </c>
      <c r="B50" t="s">
        <v>11</v>
      </c>
      <c r="C50">
        <v>3.7</v>
      </c>
      <c r="D50">
        <v>465</v>
      </c>
      <c r="E50">
        <v>66</v>
      </c>
      <c r="F50">
        <v>4215</v>
      </c>
      <c r="G50">
        <v>3.5</v>
      </c>
      <c r="H50">
        <v>4</v>
      </c>
      <c r="I50" t="s">
        <v>24</v>
      </c>
      <c r="J50" t="s">
        <v>16</v>
      </c>
    </row>
    <row r="51" spans="1:10" x14ac:dyDescent="0.3">
      <c r="A51" t="s">
        <v>72</v>
      </c>
      <c r="B51" t="s">
        <v>27</v>
      </c>
      <c r="C51">
        <v>4.2</v>
      </c>
      <c r="D51">
        <v>224</v>
      </c>
      <c r="E51">
        <v>43</v>
      </c>
      <c r="F51">
        <v>2582</v>
      </c>
      <c r="G51">
        <v>8</v>
      </c>
      <c r="H51">
        <v>8</v>
      </c>
      <c r="I51" t="s">
        <v>12</v>
      </c>
      <c r="J51" t="s">
        <v>13</v>
      </c>
    </row>
    <row r="52" spans="1:10" x14ac:dyDescent="0.3">
      <c r="A52" t="s">
        <v>73</v>
      </c>
      <c r="B52" t="s">
        <v>18</v>
      </c>
      <c r="C52">
        <v>2.4</v>
      </c>
      <c r="D52">
        <v>193</v>
      </c>
      <c r="E52">
        <v>18</v>
      </c>
      <c r="F52">
        <v>2719</v>
      </c>
      <c r="G52">
        <v>4.5</v>
      </c>
      <c r="H52">
        <v>4</v>
      </c>
      <c r="I52" t="s">
        <v>19</v>
      </c>
      <c r="J52" t="s">
        <v>16</v>
      </c>
    </row>
    <row r="53" spans="1:10" x14ac:dyDescent="0.3">
      <c r="A53" t="s">
        <v>74</v>
      </c>
      <c r="B53" t="s">
        <v>41</v>
      </c>
      <c r="C53">
        <v>1.8</v>
      </c>
      <c r="D53">
        <v>141</v>
      </c>
      <c r="E53">
        <v>75</v>
      </c>
      <c r="F53">
        <v>3163</v>
      </c>
      <c r="G53">
        <v>7.1</v>
      </c>
      <c r="H53">
        <v>4</v>
      </c>
      <c r="I53" t="s">
        <v>12</v>
      </c>
      <c r="J53" t="s">
        <v>22</v>
      </c>
    </row>
    <row r="54" spans="1:10" x14ac:dyDescent="0.3">
      <c r="A54" t="s">
        <v>75</v>
      </c>
      <c r="B54" t="s">
        <v>41</v>
      </c>
      <c r="C54">
        <v>2.7</v>
      </c>
      <c r="D54">
        <v>166</v>
      </c>
      <c r="E54">
        <v>65</v>
      </c>
      <c r="F54">
        <v>3854</v>
      </c>
      <c r="G54">
        <v>4.5</v>
      </c>
      <c r="H54">
        <v>6</v>
      </c>
      <c r="I54" t="s">
        <v>19</v>
      </c>
      <c r="J54" t="s">
        <v>13</v>
      </c>
    </row>
    <row r="55" spans="1:10" x14ac:dyDescent="0.3">
      <c r="A55" t="s">
        <v>76</v>
      </c>
      <c r="B55" t="s">
        <v>27</v>
      </c>
      <c r="C55">
        <v>2.1</v>
      </c>
      <c r="D55">
        <v>486</v>
      </c>
      <c r="E55">
        <v>63</v>
      </c>
      <c r="F55">
        <v>4361</v>
      </c>
      <c r="G55">
        <v>7.8</v>
      </c>
      <c r="H55">
        <v>4</v>
      </c>
      <c r="I55" t="s">
        <v>24</v>
      </c>
      <c r="J55" t="s">
        <v>22</v>
      </c>
    </row>
    <row r="56" spans="1:10" x14ac:dyDescent="0.3">
      <c r="A56" t="s">
        <v>77</v>
      </c>
      <c r="B56" t="s">
        <v>15</v>
      </c>
      <c r="C56">
        <v>1.6</v>
      </c>
      <c r="D56">
        <v>354</v>
      </c>
      <c r="E56">
        <v>49</v>
      </c>
      <c r="F56">
        <v>2677</v>
      </c>
      <c r="G56">
        <v>9.1</v>
      </c>
      <c r="H56">
        <v>6</v>
      </c>
      <c r="I56" t="s">
        <v>19</v>
      </c>
      <c r="J56" t="s">
        <v>16</v>
      </c>
    </row>
    <row r="57" spans="1:10" x14ac:dyDescent="0.3">
      <c r="A57" t="s">
        <v>78</v>
      </c>
      <c r="B57" t="s">
        <v>38</v>
      </c>
      <c r="C57">
        <v>4.5999999999999996</v>
      </c>
      <c r="D57">
        <v>274</v>
      </c>
      <c r="E57">
        <v>73</v>
      </c>
      <c r="F57">
        <v>3658</v>
      </c>
      <c r="G57">
        <v>5.8</v>
      </c>
      <c r="H57">
        <v>4</v>
      </c>
      <c r="I57" t="s">
        <v>19</v>
      </c>
      <c r="J57" t="s">
        <v>13</v>
      </c>
    </row>
    <row r="58" spans="1:10" x14ac:dyDescent="0.3">
      <c r="A58" t="s">
        <v>79</v>
      </c>
      <c r="B58" t="s">
        <v>18</v>
      </c>
      <c r="C58">
        <v>3.2</v>
      </c>
      <c r="D58">
        <v>110</v>
      </c>
      <c r="E58">
        <v>117</v>
      </c>
      <c r="F58">
        <v>3039</v>
      </c>
      <c r="G58">
        <v>6.9</v>
      </c>
      <c r="H58">
        <v>8</v>
      </c>
      <c r="I58" t="s">
        <v>19</v>
      </c>
      <c r="J58" t="s">
        <v>13</v>
      </c>
    </row>
    <row r="59" spans="1:10" x14ac:dyDescent="0.3">
      <c r="A59" t="s">
        <v>80</v>
      </c>
      <c r="B59" t="s">
        <v>30</v>
      </c>
      <c r="C59">
        <v>4.5</v>
      </c>
      <c r="D59">
        <v>298</v>
      </c>
      <c r="E59">
        <v>15</v>
      </c>
      <c r="F59">
        <v>3504</v>
      </c>
      <c r="G59">
        <v>5.9</v>
      </c>
      <c r="H59">
        <v>6</v>
      </c>
      <c r="I59" t="s">
        <v>12</v>
      </c>
      <c r="J59" t="s">
        <v>16</v>
      </c>
    </row>
    <row r="60" spans="1:10" x14ac:dyDescent="0.3">
      <c r="A60" t="s">
        <v>81</v>
      </c>
      <c r="B60" t="s">
        <v>18</v>
      </c>
      <c r="C60">
        <v>1.9</v>
      </c>
      <c r="D60">
        <v>216</v>
      </c>
      <c r="E60">
        <v>41</v>
      </c>
      <c r="F60">
        <v>4345</v>
      </c>
      <c r="G60">
        <v>6.2</v>
      </c>
      <c r="H60">
        <v>4</v>
      </c>
      <c r="I60" t="s">
        <v>24</v>
      </c>
      <c r="J60" t="s">
        <v>13</v>
      </c>
    </row>
    <row r="61" spans="1:10" x14ac:dyDescent="0.3">
      <c r="A61" t="s">
        <v>82</v>
      </c>
      <c r="B61" t="s">
        <v>27</v>
      </c>
      <c r="C61">
        <v>3.8</v>
      </c>
      <c r="D61">
        <v>272</v>
      </c>
      <c r="E61">
        <v>45</v>
      </c>
      <c r="F61">
        <v>4431</v>
      </c>
      <c r="G61">
        <v>7.6</v>
      </c>
      <c r="H61">
        <v>8</v>
      </c>
      <c r="I61" t="s">
        <v>24</v>
      </c>
      <c r="J61" t="s">
        <v>22</v>
      </c>
    </row>
    <row r="62" spans="1:10" x14ac:dyDescent="0.3">
      <c r="A62" t="s">
        <v>83</v>
      </c>
      <c r="B62" t="s">
        <v>27</v>
      </c>
      <c r="C62">
        <v>4.7</v>
      </c>
      <c r="D62">
        <v>227</v>
      </c>
      <c r="E62">
        <v>28</v>
      </c>
      <c r="F62">
        <v>3723</v>
      </c>
      <c r="G62">
        <v>6.6</v>
      </c>
      <c r="H62">
        <v>4</v>
      </c>
      <c r="I62" t="s">
        <v>12</v>
      </c>
      <c r="J62" t="s">
        <v>13</v>
      </c>
    </row>
    <row r="63" spans="1:10" x14ac:dyDescent="0.3">
      <c r="A63" t="s">
        <v>84</v>
      </c>
      <c r="B63" t="s">
        <v>30</v>
      </c>
      <c r="C63">
        <v>4.7</v>
      </c>
      <c r="D63">
        <v>489</v>
      </c>
      <c r="E63">
        <v>28</v>
      </c>
      <c r="F63">
        <v>3759</v>
      </c>
      <c r="G63">
        <v>9.6999999999999993</v>
      </c>
      <c r="H63">
        <v>8</v>
      </c>
      <c r="I63" t="s">
        <v>19</v>
      </c>
      <c r="J63" t="s">
        <v>16</v>
      </c>
    </row>
    <row r="64" spans="1:10" x14ac:dyDescent="0.3">
      <c r="A64" t="s">
        <v>85</v>
      </c>
      <c r="B64" t="s">
        <v>30</v>
      </c>
      <c r="C64">
        <v>1.3</v>
      </c>
      <c r="D64">
        <v>384</v>
      </c>
      <c r="E64">
        <v>68</v>
      </c>
      <c r="F64">
        <v>2760</v>
      </c>
      <c r="G64">
        <v>3.6</v>
      </c>
      <c r="H64">
        <v>8</v>
      </c>
      <c r="I64" t="s">
        <v>12</v>
      </c>
      <c r="J64" t="s">
        <v>22</v>
      </c>
    </row>
    <row r="65" spans="1:10" x14ac:dyDescent="0.3">
      <c r="A65" t="s">
        <v>86</v>
      </c>
      <c r="B65" t="s">
        <v>11</v>
      </c>
      <c r="C65">
        <v>2.4</v>
      </c>
      <c r="D65">
        <v>357</v>
      </c>
      <c r="E65">
        <v>44</v>
      </c>
      <c r="F65">
        <v>3882</v>
      </c>
      <c r="G65">
        <v>3.6</v>
      </c>
      <c r="H65">
        <v>6</v>
      </c>
      <c r="I65" t="s">
        <v>24</v>
      </c>
      <c r="J65" t="s">
        <v>16</v>
      </c>
    </row>
    <row r="66" spans="1:10" x14ac:dyDescent="0.3">
      <c r="A66" t="s">
        <v>87</v>
      </c>
      <c r="B66" t="s">
        <v>30</v>
      </c>
      <c r="C66">
        <v>1.5</v>
      </c>
      <c r="D66">
        <v>384</v>
      </c>
      <c r="E66">
        <v>41</v>
      </c>
      <c r="F66">
        <v>2897</v>
      </c>
      <c r="G66">
        <v>9.4</v>
      </c>
      <c r="H66">
        <v>8</v>
      </c>
      <c r="I66" t="s">
        <v>24</v>
      </c>
      <c r="J66" t="s">
        <v>13</v>
      </c>
    </row>
    <row r="67" spans="1:10" x14ac:dyDescent="0.3">
      <c r="A67" t="s">
        <v>88</v>
      </c>
      <c r="B67" t="s">
        <v>30</v>
      </c>
      <c r="C67">
        <v>4.9000000000000004</v>
      </c>
      <c r="D67">
        <v>185</v>
      </c>
      <c r="E67">
        <v>115</v>
      </c>
      <c r="F67">
        <v>4204</v>
      </c>
      <c r="G67">
        <v>8</v>
      </c>
      <c r="H67">
        <v>4</v>
      </c>
      <c r="I67" t="s">
        <v>24</v>
      </c>
      <c r="J67" t="s">
        <v>13</v>
      </c>
    </row>
    <row r="68" spans="1:10" x14ac:dyDescent="0.3">
      <c r="A68" t="s">
        <v>89</v>
      </c>
      <c r="B68" t="s">
        <v>11</v>
      </c>
      <c r="C68">
        <v>1.3</v>
      </c>
      <c r="D68">
        <v>478</v>
      </c>
      <c r="E68">
        <v>67</v>
      </c>
      <c r="F68">
        <v>4425</v>
      </c>
      <c r="G68">
        <v>6.8</v>
      </c>
      <c r="H68">
        <v>8</v>
      </c>
      <c r="I68" t="s">
        <v>24</v>
      </c>
      <c r="J68" t="s">
        <v>13</v>
      </c>
    </row>
    <row r="69" spans="1:10" x14ac:dyDescent="0.3">
      <c r="A69" t="s">
        <v>90</v>
      </c>
      <c r="B69" t="s">
        <v>30</v>
      </c>
      <c r="C69">
        <v>3.9</v>
      </c>
      <c r="D69">
        <v>424</v>
      </c>
      <c r="E69">
        <v>64</v>
      </c>
      <c r="F69">
        <v>3919</v>
      </c>
      <c r="G69">
        <v>8.1</v>
      </c>
      <c r="H69">
        <v>8</v>
      </c>
      <c r="I69" t="s">
        <v>24</v>
      </c>
      <c r="J69" t="s">
        <v>16</v>
      </c>
    </row>
    <row r="70" spans="1:10" x14ac:dyDescent="0.3">
      <c r="A70" t="s">
        <v>91</v>
      </c>
      <c r="B70" t="s">
        <v>38</v>
      </c>
      <c r="C70">
        <v>2.2999999999999998</v>
      </c>
      <c r="D70">
        <v>141</v>
      </c>
      <c r="E70">
        <v>112</v>
      </c>
      <c r="F70">
        <v>4099</v>
      </c>
      <c r="G70">
        <v>9</v>
      </c>
      <c r="H70">
        <v>6</v>
      </c>
      <c r="I70" t="s">
        <v>12</v>
      </c>
      <c r="J70" t="s">
        <v>16</v>
      </c>
    </row>
    <row r="71" spans="1:10" x14ac:dyDescent="0.3">
      <c r="A71" t="s">
        <v>92</v>
      </c>
      <c r="B71" t="s">
        <v>15</v>
      </c>
      <c r="C71">
        <v>1.3</v>
      </c>
      <c r="D71">
        <v>490</v>
      </c>
      <c r="E71">
        <v>103</v>
      </c>
      <c r="F71">
        <v>3985</v>
      </c>
      <c r="G71">
        <v>5.3</v>
      </c>
      <c r="H71">
        <v>4</v>
      </c>
      <c r="I71" t="s">
        <v>12</v>
      </c>
      <c r="J71" t="s">
        <v>13</v>
      </c>
    </row>
    <row r="72" spans="1:10" x14ac:dyDescent="0.3">
      <c r="A72" t="s">
        <v>93</v>
      </c>
      <c r="B72" t="s">
        <v>18</v>
      </c>
      <c r="C72">
        <v>2.5</v>
      </c>
      <c r="D72">
        <v>400</v>
      </c>
      <c r="E72">
        <v>32</v>
      </c>
      <c r="F72">
        <v>4494</v>
      </c>
      <c r="G72">
        <v>5.6</v>
      </c>
      <c r="H72">
        <v>4</v>
      </c>
      <c r="I72" t="s">
        <v>24</v>
      </c>
      <c r="J72" t="s">
        <v>13</v>
      </c>
    </row>
    <row r="73" spans="1:10" x14ac:dyDescent="0.3">
      <c r="A73" t="s">
        <v>94</v>
      </c>
      <c r="B73" t="s">
        <v>18</v>
      </c>
      <c r="C73">
        <v>4.3</v>
      </c>
      <c r="D73">
        <v>443</v>
      </c>
      <c r="E73">
        <v>29</v>
      </c>
      <c r="F73">
        <v>4449</v>
      </c>
      <c r="G73">
        <v>3.2</v>
      </c>
      <c r="H73">
        <v>4</v>
      </c>
      <c r="I73" t="s">
        <v>12</v>
      </c>
      <c r="J73" t="s">
        <v>16</v>
      </c>
    </row>
    <row r="74" spans="1:10" x14ac:dyDescent="0.3">
      <c r="A74" t="s">
        <v>95</v>
      </c>
      <c r="B74" t="s">
        <v>30</v>
      </c>
      <c r="C74">
        <v>1.1000000000000001</v>
      </c>
      <c r="D74">
        <v>470</v>
      </c>
      <c r="E74">
        <v>55</v>
      </c>
      <c r="F74">
        <v>2796</v>
      </c>
      <c r="G74">
        <v>6.5</v>
      </c>
      <c r="H74">
        <v>6</v>
      </c>
      <c r="I74" t="s">
        <v>12</v>
      </c>
      <c r="J74" t="s">
        <v>16</v>
      </c>
    </row>
    <row r="75" spans="1:10" x14ac:dyDescent="0.3">
      <c r="A75" t="s">
        <v>96</v>
      </c>
      <c r="B75" t="s">
        <v>27</v>
      </c>
      <c r="C75">
        <v>4.4000000000000004</v>
      </c>
      <c r="D75">
        <v>143</v>
      </c>
      <c r="E75">
        <v>48</v>
      </c>
      <c r="F75">
        <v>2710</v>
      </c>
      <c r="G75">
        <v>6.6</v>
      </c>
      <c r="H75">
        <v>8</v>
      </c>
      <c r="I75" t="s">
        <v>12</v>
      </c>
      <c r="J75" t="s">
        <v>22</v>
      </c>
    </row>
    <row r="76" spans="1:10" x14ac:dyDescent="0.3">
      <c r="A76" t="s">
        <v>97</v>
      </c>
      <c r="B76" t="s">
        <v>11</v>
      </c>
      <c r="C76">
        <v>1.5</v>
      </c>
      <c r="D76">
        <v>244</v>
      </c>
      <c r="E76">
        <v>104</v>
      </c>
      <c r="F76">
        <v>4306</v>
      </c>
      <c r="G76">
        <v>3.7</v>
      </c>
      <c r="H76">
        <v>4</v>
      </c>
      <c r="I76" t="s">
        <v>24</v>
      </c>
      <c r="J76" t="s">
        <v>16</v>
      </c>
    </row>
    <row r="77" spans="1:10" x14ac:dyDescent="0.3">
      <c r="A77" t="s">
        <v>98</v>
      </c>
      <c r="B77" t="s">
        <v>41</v>
      </c>
      <c r="C77">
        <v>3</v>
      </c>
      <c r="D77">
        <v>299</v>
      </c>
      <c r="E77">
        <v>90</v>
      </c>
      <c r="F77">
        <v>2820</v>
      </c>
      <c r="G77">
        <v>5</v>
      </c>
      <c r="H77">
        <v>4</v>
      </c>
      <c r="I77" t="s">
        <v>19</v>
      </c>
      <c r="J77" t="s">
        <v>22</v>
      </c>
    </row>
    <row r="78" spans="1:10" x14ac:dyDescent="0.3">
      <c r="A78" t="s">
        <v>99</v>
      </c>
      <c r="B78" t="s">
        <v>11</v>
      </c>
      <c r="C78">
        <v>2.4</v>
      </c>
      <c r="D78">
        <v>399</v>
      </c>
      <c r="E78">
        <v>101</v>
      </c>
      <c r="F78">
        <v>3981</v>
      </c>
      <c r="G78">
        <v>5.0999999999999996</v>
      </c>
      <c r="H78">
        <v>6</v>
      </c>
      <c r="I78" t="s">
        <v>12</v>
      </c>
      <c r="J78" t="s">
        <v>22</v>
      </c>
    </row>
    <row r="79" spans="1:10" x14ac:dyDescent="0.3">
      <c r="A79" t="s">
        <v>100</v>
      </c>
      <c r="B79" t="s">
        <v>11</v>
      </c>
      <c r="C79">
        <v>4.7</v>
      </c>
      <c r="D79">
        <v>430</v>
      </c>
      <c r="E79">
        <v>35</v>
      </c>
      <c r="F79">
        <v>4138</v>
      </c>
      <c r="G79">
        <v>6.7</v>
      </c>
      <c r="H79">
        <v>4</v>
      </c>
      <c r="I79" t="s">
        <v>12</v>
      </c>
      <c r="J79" t="s">
        <v>13</v>
      </c>
    </row>
    <row r="80" spans="1:10" x14ac:dyDescent="0.3">
      <c r="A80" t="s">
        <v>101</v>
      </c>
      <c r="B80" t="s">
        <v>15</v>
      </c>
      <c r="C80">
        <v>5</v>
      </c>
      <c r="D80">
        <v>274</v>
      </c>
      <c r="E80">
        <v>40</v>
      </c>
      <c r="F80">
        <v>3139</v>
      </c>
      <c r="G80">
        <v>4.5</v>
      </c>
      <c r="H80">
        <v>6</v>
      </c>
      <c r="I80" t="s">
        <v>19</v>
      </c>
      <c r="J80" t="s">
        <v>16</v>
      </c>
    </row>
    <row r="81" spans="1:10" x14ac:dyDescent="0.3">
      <c r="A81" t="s">
        <v>102</v>
      </c>
      <c r="B81" t="s">
        <v>11</v>
      </c>
      <c r="C81">
        <v>2.2000000000000002</v>
      </c>
      <c r="D81">
        <v>399</v>
      </c>
      <c r="E81">
        <v>56</v>
      </c>
      <c r="F81">
        <v>3283</v>
      </c>
      <c r="G81">
        <v>3.8</v>
      </c>
      <c r="H81">
        <v>4</v>
      </c>
      <c r="I81" t="s">
        <v>19</v>
      </c>
      <c r="J81" t="s">
        <v>22</v>
      </c>
    </row>
    <row r="82" spans="1:10" x14ac:dyDescent="0.3">
      <c r="A82" t="s">
        <v>103</v>
      </c>
      <c r="B82" t="s">
        <v>38</v>
      </c>
      <c r="C82">
        <v>4.0999999999999996</v>
      </c>
      <c r="D82">
        <v>124</v>
      </c>
      <c r="E82">
        <v>87</v>
      </c>
      <c r="F82">
        <v>2545</v>
      </c>
      <c r="G82">
        <v>7.1</v>
      </c>
      <c r="H82">
        <v>6</v>
      </c>
      <c r="I82" t="s">
        <v>24</v>
      </c>
      <c r="J82" t="s">
        <v>13</v>
      </c>
    </row>
    <row r="83" spans="1:10" x14ac:dyDescent="0.3">
      <c r="A83" t="s">
        <v>104</v>
      </c>
      <c r="B83" t="s">
        <v>27</v>
      </c>
      <c r="C83">
        <v>3</v>
      </c>
      <c r="D83">
        <v>350</v>
      </c>
      <c r="E83">
        <v>76</v>
      </c>
      <c r="F83">
        <v>3622</v>
      </c>
      <c r="G83">
        <v>4.5999999999999996</v>
      </c>
      <c r="H83">
        <v>6</v>
      </c>
      <c r="I83" t="s">
        <v>12</v>
      </c>
      <c r="J83" t="s">
        <v>16</v>
      </c>
    </row>
    <row r="84" spans="1:10" x14ac:dyDescent="0.3">
      <c r="A84" t="s">
        <v>105</v>
      </c>
      <c r="B84" t="s">
        <v>11</v>
      </c>
      <c r="C84">
        <v>3.1</v>
      </c>
      <c r="D84">
        <v>450</v>
      </c>
      <c r="E84">
        <v>49</v>
      </c>
      <c r="F84">
        <v>4127</v>
      </c>
      <c r="G84">
        <v>3.1</v>
      </c>
      <c r="H84">
        <v>4</v>
      </c>
      <c r="I84" t="s">
        <v>24</v>
      </c>
      <c r="J84" t="s">
        <v>22</v>
      </c>
    </row>
    <row r="85" spans="1:10" x14ac:dyDescent="0.3">
      <c r="A85" t="s">
        <v>106</v>
      </c>
      <c r="B85" t="s">
        <v>38</v>
      </c>
      <c r="C85">
        <v>1.2</v>
      </c>
      <c r="D85">
        <v>277</v>
      </c>
      <c r="E85">
        <v>81</v>
      </c>
      <c r="F85">
        <v>4431</v>
      </c>
      <c r="G85">
        <v>7</v>
      </c>
      <c r="H85">
        <v>6</v>
      </c>
      <c r="I85" t="s">
        <v>12</v>
      </c>
      <c r="J85" t="s">
        <v>16</v>
      </c>
    </row>
    <row r="86" spans="1:10" x14ac:dyDescent="0.3">
      <c r="A86" t="s">
        <v>107</v>
      </c>
      <c r="B86" t="s">
        <v>38</v>
      </c>
      <c r="C86">
        <v>1.7</v>
      </c>
      <c r="D86">
        <v>163</v>
      </c>
      <c r="E86">
        <v>45</v>
      </c>
      <c r="F86">
        <v>3946</v>
      </c>
      <c r="G86">
        <v>9.1999999999999993</v>
      </c>
      <c r="H86">
        <v>4</v>
      </c>
      <c r="I86" t="s">
        <v>24</v>
      </c>
      <c r="J86" t="s">
        <v>13</v>
      </c>
    </row>
    <row r="87" spans="1:10" x14ac:dyDescent="0.3">
      <c r="A87" t="s">
        <v>108</v>
      </c>
      <c r="B87" t="s">
        <v>38</v>
      </c>
      <c r="C87">
        <v>4.4000000000000004</v>
      </c>
      <c r="D87">
        <v>152</v>
      </c>
      <c r="E87">
        <v>49</v>
      </c>
      <c r="F87">
        <v>3182</v>
      </c>
      <c r="G87">
        <v>7.9</v>
      </c>
      <c r="H87">
        <v>4</v>
      </c>
      <c r="I87" t="s">
        <v>24</v>
      </c>
      <c r="J87" t="s">
        <v>13</v>
      </c>
    </row>
    <row r="88" spans="1:10" x14ac:dyDescent="0.3">
      <c r="A88" t="s">
        <v>109</v>
      </c>
      <c r="B88" t="s">
        <v>30</v>
      </c>
      <c r="C88">
        <v>4.9000000000000004</v>
      </c>
      <c r="D88">
        <v>349</v>
      </c>
      <c r="E88">
        <v>42</v>
      </c>
      <c r="F88">
        <v>4458</v>
      </c>
      <c r="G88">
        <v>9.5</v>
      </c>
      <c r="H88">
        <v>4</v>
      </c>
      <c r="I88" t="s">
        <v>19</v>
      </c>
      <c r="J88" t="s">
        <v>13</v>
      </c>
    </row>
    <row r="89" spans="1:10" x14ac:dyDescent="0.3">
      <c r="A89" t="s">
        <v>110</v>
      </c>
      <c r="B89" t="s">
        <v>15</v>
      </c>
      <c r="C89">
        <v>3.4</v>
      </c>
      <c r="D89">
        <v>262</v>
      </c>
      <c r="E89">
        <v>115</v>
      </c>
      <c r="F89">
        <v>2676</v>
      </c>
      <c r="G89">
        <v>7.2</v>
      </c>
      <c r="H89">
        <v>6</v>
      </c>
      <c r="I89" t="s">
        <v>12</v>
      </c>
      <c r="J89" t="s">
        <v>22</v>
      </c>
    </row>
    <row r="90" spans="1:10" x14ac:dyDescent="0.3">
      <c r="A90" t="s">
        <v>111</v>
      </c>
      <c r="B90" t="s">
        <v>41</v>
      </c>
      <c r="C90">
        <v>3.8</v>
      </c>
      <c r="D90">
        <v>473</v>
      </c>
      <c r="E90">
        <v>69</v>
      </c>
      <c r="F90">
        <v>3762</v>
      </c>
      <c r="G90">
        <v>3.8</v>
      </c>
      <c r="H90">
        <v>8</v>
      </c>
      <c r="I90" t="s">
        <v>19</v>
      </c>
      <c r="J90" t="s">
        <v>13</v>
      </c>
    </row>
    <row r="91" spans="1:10" x14ac:dyDescent="0.3">
      <c r="A91" t="s">
        <v>112</v>
      </c>
      <c r="B91" t="s">
        <v>41</v>
      </c>
      <c r="C91">
        <v>3.9</v>
      </c>
      <c r="D91">
        <v>242</v>
      </c>
      <c r="E91">
        <v>99</v>
      </c>
      <c r="F91">
        <v>3038</v>
      </c>
      <c r="G91">
        <v>3.8</v>
      </c>
      <c r="H91">
        <v>4</v>
      </c>
      <c r="I91" t="s">
        <v>12</v>
      </c>
      <c r="J91" t="s">
        <v>16</v>
      </c>
    </row>
    <row r="92" spans="1:10" x14ac:dyDescent="0.3">
      <c r="A92" t="s">
        <v>113</v>
      </c>
      <c r="B92" t="s">
        <v>41</v>
      </c>
      <c r="C92">
        <v>1.8</v>
      </c>
      <c r="D92">
        <v>159</v>
      </c>
      <c r="E92">
        <v>90</v>
      </c>
      <c r="F92">
        <v>3968</v>
      </c>
      <c r="G92">
        <v>4.0999999999999996</v>
      </c>
      <c r="H92">
        <v>4</v>
      </c>
      <c r="I92" t="s">
        <v>19</v>
      </c>
      <c r="J92" t="s">
        <v>13</v>
      </c>
    </row>
    <row r="93" spans="1:10" x14ac:dyDescent="0.3">
      <c r="A93" t="s">
        <v>114</v>
      </c>
      <c r="B93" t="s">
        <v>18</v>
      </c>
      <c r="C93">
        <v>2.5</v>
      </c>
      <c r="D93">
        <v>445</v>
      </c>
      <c r="E93">
        <v>78</v>
      </c>
      <c r="F93">
        <v>3501</v>
      </c>
      <c r="G93">
        <v>4.4000000000000004</v>
      </c>
      <c r="H93">
        <v>4</v>
      </c>
      <c r="I93" t="s">
        <v>19</v>
      </c>
      <c r="J93" t="s">
        <v>13</v>
      </c>
    </row>
    <row r="94" spans="1:10" x14ac:dyDescent="0.3">
      <c r="A94" t="s">
        <v>115</v>
      </c>
      <c r="B94" t="s">
        <v>38</v>
      </c>
      <c r="C94">
        <v>3.6</v>
      </c>
      <c r="D94">
        <v>226</v>
      </c>
      <c r="E94">
        <v>111</v>
      </c>
      <c r="F94">
        <v>3950</v>
      </c>
      <c r="G94">
        <v>3.5</v>
      </c>
      <c r="H94">
        <v>8</v>
      </c>
      <c r="I94" t="s">
        <v>12</v>
      </c>
      <c r="J94" t="s">
        <v>16</v>
      </c>
    </row>
    <row r="95" spans="1:10" x14ac:dyDescent="0.3">
      <c r="A95" t="s">
        <v>116</v>
      </c>
      <c r="B95" t="s">
        <v>15</v>
      </c>
      <c r="C95">
        <v>1.3</v>
      </c>
      <c r="D95">
        <v>223</v>
      </c>
      <c r="E95">
        <v>48</v>
      </c>
      <c r="F95">
        <v>4305</v>
      </c>
      <c r="G95">
        <v>4.8</v>
      </c>
      <c r="H95">
        <v>8</v>
      </c>
      <c r="I95" t="s">
        <v>19</v>
      </c>
      <c r="J95" t="s">
        <v>13</v>
      </c>
    </row>
    <row r="96" spans="1:10" x14ac:dyDescent="0.3">
      <c r="A96" t="s">
        <v>117</v>
      </c>
      <c r="B96" t="s">
        <v>18</v>
      </c>
      <c r="C96">
        <v>5</v>
      </c>
      <c r="D96">
        <v>372</v>
      </c>
      <c r="E96">
        <v>20</v>
      </c>
      <c r="F96">
        <v>3094</v>
      </c>
      <c r="G96">
        <v>8.3000000000000007</v>
      </c>
      <c r="H96">
        <v>8</v>
      </c>
      <c r="I96" t="s">
        <v>12</v>
      </c>
      <c r="J96" t="s">
        <v>22</v>
      </c>
    </row>
    <row r="97" spans="1:10" x14ac:dyDescent="0.3">
      <c r="A97" t="s">
        <v>118</v>
      </c>
      <c r="B97" t="s">
        <v>38</v>
      </c>
      <c r="C97">
        <v>3.1</v>
      </c>
      <c r="D97">
        <v>290</v>
      </c>
      <c r="E97">
        <v>39</v>
      </c>
      <c r="F97">
        <v>4327</v>
      </c>
      <c r="G97">
        <v>3.3</v>
      </c>
      <c r="H97">
        <v>4</v>
      </c>
      <c r="I97" t="s">
        <v>19</v>
      </c>
      <c r="J97" t="s">
        <v>22</v>
      </c>
    </row>
    <row r="98" spans="1:10" x14ac:dyDescent="0.3">
      <c r="A98" t="s">
        <v>119</v>
      </c>
      <c r="B98" t="s">
        <v>30</v>
      </c>
      <c r="C98">
        <v>2.9</v>
      </c>
      <c r="D98">
        <v>254</v>
      </c>
      <c r="E98">
        <v>90</v>
      </c>
      <c r="F98">
        <v>2943</v>
      </c>
      <c r="G98">
        <v>9.5</v>
      </c>
      <c r="H98">
        <v>6</v>
      </c>
      <c r="I98" t="s">
        <v>12</v>
      </c>
      <c r="J98" t="s">
        <v>22</v>
      </c>
    </row>
    <row r="99" spans="1:10" x14ac:dyDescent="0.3">
      <c r="A99" t="s">
        <v>120</v>
      </c>
      <c r="B99" t="s">
        <v>27</v>
      </c>
      <c r="C99">
        <v>2.5</v>
      </c>
      <c r="D99">
        <v>131</v>
      </c>
      <c r="E99">
        <v>52</v>
      </c>
      <c r="F99">
        <v>3903</v>
      </c>
      <c r="G99">
        <v>7.5</v>
      </c>
      <c r="H99">
        <v>6</v>
      </c>
      <c r="I99" t="s">
        <v>24</v>
      </c>
      <c r="J99" t="s">
        <v>16</v>
      </c>
    </row>
    <row r="100" spans="1:10" x14ac:dyDescent="0.3">
      <c r="A100" t="s">
        <v>121</v>
      </c>
      <c r="B100" t="s">
        <v>18</v>
      </c>
      <c r="C100">
        <v>4.5999999999999996</v>
      </c>
      <c r="D100">
        <v>460</v>
      </c>
      <c r="E100">
        <v>63</v>
      </c>
      <c r="F100">
        <v>4231</v>
      </c>
      <c r="G100">
        <v>4</v>
      </c>
      <c r="H100">
        <v>6</v>
      </c>
      <c r="I100" t="s">
        <v>19</v>
      </c>
      <c r="J100" t="s">
        <v>16</v>
      </c>
    </row>
    <row r="101" spans="1:10" x14ac:dyDescent="0.3">
      <c r="A101" t="s">
        <v>122</v>
      </c>
      <c r="B101" t="s">
        <v>15</v>
      </c>
      <c r="C101">
        <v>4.9000000000000004</v>
      </c>
      <c r="D101">
        <v>271</v>
      </c>
      <c r="E101">
        <v>59</v>
      </c>
      <c r="F101">
        <v>4481</v>
      </c>
      <c r="G101">
        <v>8.3000000000000007</v>
      </c>
      <c r="H101">
        <v>6</v>
      </c>
      <c r="I101" t="s">
        <v>12</v>
      </c>
      <c r="J101" t="s">
        <v>16</v>
      </c>
    </row>
    <row r="102" spans="1:10" x14ac:dyDescent="0.3">
      <c r="A102" t="s">
        <v>123</v>
      </c>
      <c r="B102" t="s">
        <v>38</v>
      </c>
      <c r="C102">
        <v>2.5</v>
      </c>
      <c r="D102">
        <v>216</v>
      </c>
      <c r="E102">
        <v>50</v>
      </c>
      <c r="F102">
        <v>3971</v>
      </c>
      <c r="G102">
        <v>7</v>
      </c>
      <c r="H102">
        <v>6</v>
      </c>
      <c r="I102" t="s">
        <v>24</v>
      </c>
      <c r="J102" t="s">
        <v>22</v>
      </c>
    </row>
    <row r="103" spans="1:10" x14ac:dyDescent="0.3">
      <c r="A103" t="s">
        <v>124</v>
      </c>
      <c r="B103" t="s">
        <v>27</v>
      </c>
      <c r="C103">
        <v>3.5</v>
      </c>
      <c r="D103">
        <v>337</v>
      </c>
      <c r="E103">
        <v>58</v>
      </c>
      <c r="F103">
        <v>3863</v>
      </c>
      <c r="G103">
        <v>5.3</v>
      </c>
      <c r="H103">
        <v>4</v>
      </c>
      <c r="I103" t="s">
        <v>12</v>
      </c>
      <c r="J103" t="s">
        <v>13</v>
      </c>
    </row>
    <row r="104" spans="1:10" x14ac:dyDescent="0.3">
      <c r="A104" t="s">
        <v>125</v>
      </c>
      <c r="B104" t="s">
        <v>18</v>
      </c>
      <c r="C104">
        <v>3.6</v>
      </c>
      <c r="D104">
        <v>319</v>
      </c>
      <c r="E104">
        <v>78</v>
      </c>
      <c r="F104">
        <v>3578</v>
      </c>
      <c r="G104">
        <v>7.5</v>
      </c>
      <c r="H104">
        <v>8</v>
      </c>
      <c r="I104" t="s">
        <v>19</v>
      </c>
      <c r="J104" t="s">
        <v>22</v>
      </c>
    </row>
    <row r="105" spans="1:10" x14ac:dyDescent="0.3">
      <c r="A105" t="s">
        <v>126</v>
      </c>
      <c r="B105" t="s">
        <v>18</v>
      </c>
      <c r="C105">
        <v>4.4000000000000004</v>
      </c>
      <c r="D105">
        <v>377</v>
      </c>
      <c r="E105">
        <v>87</v>
      </c>
      <c r="F105">
        <v>4022</v>
      </c>
      <c r="G105">
        <v>7.8</v>
      </c>
      <c r="H105">
        <v>6</v>
      </c>
      <c r="I105" t="s">
        <v>12</v>
      </c>
      <c r="J105" t="s">
        <v>22</v>
      </c>
    </row>
    <row r="106" spans="1:10" x14ac:dyDescent="0.3">
      <c r="A106" t="s">
        <v>127</v>
      </c>
      <c r="B106" t="s">
        <v>11</v>
      </c>
      <c r="C106">
        <v>3.2</v>
      </c>
      <c r="D106">
        <v>271</v>
      </c>
      <c r="E106">
        <v>51</v>
      </c>
      <c r="F106">
        <v>2955</v>
      </c>
      <c r="G106">
        <v>9.1999999999999993</v>
      </c>
      <c r="H106">
        <v>8</v>
      </c>
      <c r="I106" t="s">
        <v>12</v>
      </c>
      <c r="J106" t="s">
        <v>16</v>
      </c>
    </row>
    <row r="107" spans="1:10" x14ac:dyDescent="0.3">
      <c r="A107" t="s">
        <v>128</v>
      </c>
      <c r="B107" t="s">
        <v>11</v>
      </c>
      <c r="C107">
        <v>1.9</v>
      </c>
      <c r="D107">
        <v>271</v>
      </c>
      <c r="E107">
        <v>55</v>
      </c>
      <c r="F107">
        <v>2679</v>
      </c>
      <c r="G107">
        <v>9.8000000000000007</v>
      </c>
      <c r="H107">
        <v>6</v>
      </c>
      <c r="I107" t="s">
        <v>19</v>
      </c>
      <c r="J107" t="s">
        <v>16</v>
      </c>
    </row>
    <row r="108" spans="1:10" x14ac:dyDescent="0.3">
      <c r="A108" t="s">
        <v>129</v>
      </c>
      <c r="B108" t="s">
        <v>30</v>
      </c>
      <c r="C108">
        <v>3.3</v>
      </c>
      <c r="D108">
        <v>229</v>
      </c>
      <c r="E108">
        <v>74</v>
      </c>
      <c r="F108">
        <v>2873</v>
      </c>
      <c r="G108">
        <v>7.1</v>
      </c>
      <c r="H108">
        <v>8</v>
      </c>
      <c r="I108" t="s">
        <v>19</v>
      </c>
      <c r="J108" t="s">
        <v>22</v>
      </c>
    </row>
    <row r="109" spans="1:10" x14ac:dyDescent="0.3">
      <c r="A109" t="s">
        <v>130</v>
      </c>
      <c r="B109" t="s">
        <v>18</v>
      </c>
      <c r="C109">
        <v>3.7</v>
      </c>
      <c r="D109">
        <v>477</v>
      </c>
      <c r="E109">
        <v>72</v>
      </c>
      <c r="F109">
        <v>2737</v>
      </c>
      <c r="G109">
        <v>3.4</v>
      </c>
      <c r="H109">
        <v>8</v>
      </c>
      <c r="I109" t="s">
        <v>24</v>
      </c>
      <c r="J109" t="s">
        <v>13</v>
      </c>
    </row>
    <row r="110" spans="1:10" x14ac:dyDescent="0.3">
      <c r="A110" t="s">
        <v>131</v>
      </c>
      <c r="B110" t="s">
        <v>15</v>
      </c>
      <c r="C110">
        <v>4.5</v>
      </c>
      <c r="D110">
        <v>421</v>
      </c>
      <c r="E110">
        <v>19</v>
      </c>
      <c r="F110">
        <v>4355</v>
      </c>
      <c r="G110">
        <v>7.4</v>
      </c>
      <c r="H110">
        <v>8</v>
      </c>
      <c r="I110" t="s">
        <v>12</v>
      </c>
      <c r="J110" t="s">
        <v>13</v>
      </c>
    </row>
    <row r="111" spans="1:10" x14ac:dyDescent="0.3">
      <c r="A111" t="s">
        <v>132</v>
      </c>
      <c r="B111" t="s">
        <v>15</v>
      </c>
      <c r="C111">
        <v>3</v>
      </c>
      <c r="D111">
        <v>442</v>
      </c>
      <c r="E111">
        <v>27</v>
      </c>
      <c r="F111">
        <v>2797</v>
      </c>
      <c r="G111">
        <v>6.3</v>
      </c>
      <c r="H111">
        <v>4</v>
      </c>
      <c r="I111" t="s">
        <v>24</v>
      </c>
      <c r="J111" t="s">
        <v>22</v>
      </c>
    </row>
    <row r="112" spans="1:10" x14ac:dyDescent="0.3">
      <c r="A112" t="s">
        <v>133</v>
      </c>
      <c r="B112" t="s">
        <v>41</v>
      </c>
      <c r="C112">
        <v>4.7</v>
      </c>
      <c r="D112">
        <v>340</v>
      </c>
      <c r="E112">
        <v>66</v>
      </c>
      <c r="F112">
        <v>2516</v>
      </c>
      <c r="G112">
        <v>7.5</v>
      </c>
      <c r="H112">
        <v>8</v>
      </c>
      <c r="I112" t="s">
        <v>19</v>
      </c>
      <c r="J112" t="s">
        <v>13</v>
      </c>
    </row>
    <row r="113" spans="1:10" x14ac:dyDescent="0.3">
      <c r="A113" t="s">
        <v>134</v>
      </c>
      <c r="B113" t="s">
        <v>18</v>
      </c>
      <c r="C113">
        <v>4.9000000000000004</v>
      </c>
      <c r="D113">
        <v>366</v>
      </c>
      <c r="E113">
        <v>18</v>
      </c>
      <c r="F113">
        <v>3753</v>
      </c>
      <c r="G113">
        <v>6.2</v>
      </c>
      <c r="H113">
        <v>4</v>
      </c>
      <c r="I113" t="s">
        <v>12</v>
      </c>
      <c r="J113" t="s">
        <v>16</v>
      </c>
    </row>
    <row r="114" spans="1:10" x14ac:dyDescent="0.3">
      <c r="A114" t="s">
        <v>135</v>
      </c>
      <c r="B114" t="s">
        <v>15</v>
      </c>
      <c r="C114">
        <v>1.4</v>
      </c>
      <c r="D114">
        <v>160</v>
      </c>
      <c r="E114">
        <v>54</v>
      </c>
      <c r="F114">
        <v>3690</v>
      </c>
      <c r="G114">
        <v>9.3000000000000007</v>
      </c>
      <c r="H114">
        <v>8</v>
      </c>
      <c r="I114" t="s">
        <v>24</v>
      </c>
      <c r="J114" t="s">
        <v>22</v>
      </c>
    </row>
    <row r="115" spans="1:10" x14ac:dyDescent="0.3">
      <c r="A115" t="s">
        <v>136</v>
      </c>
      <c r="B115" t="s">
        <v>41</v>
      </c>
      <c r="C115">
        <v>4.5999999999999996</v>
      </c>
      <c r="D115">
        <v>332</v>
      </c>
      <c r="E115">
        <v>87</v>
      </c>
      <c r="F115">
        <v>4049</v>
      </c>
      <c r="G115">
        <v>5.3</v>
      </c>
      <c r="H115">
        <v>4</v>
      </c>
      <c r="I115" t="s">
        <v>12</v>
      </c>
      <c r="J115" t="s">
        <v>22</v>
      </c>
    </row>
    <row r="116" spans="1:10" x14ac:dyDescent="0.3">
      <c r="A116" t="s">
        <v>137</v>
      </c>
      <c r="B116" t="s">
        <v>18</v>
      </c>
      <c r="C116">
        <v>3.1</v>
      </c>
      <c r="D116">
        <v>397</v>
      </c>
      <c r="E116">
        <v>30</v>
      </c>
      <c r="F116">
        <v>3542</v>
      </c>
      <c r="G116">
        <v>8.9</v>
      </c>
      <c r="H116">
        <v>6</v>
      </c>
      <c r="I116" t="s">
        <v>12</v>
      </c>
      <c r="J116" t="s">
        <v>16</v>
      </c>
    </row>
    <row r="117" spans="1:10" x14ac:dyDescent="0.3">
      <c r="A117" t="s">
        <v>138</v>
      </c>
      <c r="B117" t="s">
        <v>11</v>
      </c>
      <c r="C117">
        <v>1.3</v>
      </c>
      <c r="D117">
        <v>377</v>
      </c>
      <c r="E117">
        <v>46</v>
      </c>
      <c r="F117">
        <v>3427</v>
      </c>
      <c r="G117">
        <v>6.4</v>
      </c>
      <c r="H117">
        <v>4</v>
      </c>
      <c r="I117" t="s">
        <v>12</v>
      </c>
      <c r="J117" t="s">
        <v>22</v>
      </c>
    </row>
    <row r="118" spans="1:10" x14ac:dyDescent="0.3">
      <c r="A118" t="s">
        <v>139</v>
      </c>
      <c r="B118" t="s">
        <v>15</v>
      </c>
      <c r="C118">
        <v>1.9</v>
      </c>
      <c r="D118">
        <v>428</v>
      </c>
      <c r="E118">
        <v>39</v>
      </c>
      <c r="F118">
        <v>4374</v>
      </c>
      <c r="G118">
        <v>6.1</v>
      </c>
      <c r="H118">
        <v>4</v>
      </c>
      <c r="I118" t="s">
        <v>24</v>
      </c>
      <c r="J118" t="s">
        <v>13</v>
      </c>
    </row>
    <row r="119" spans="1:10" x14ac:dyDescent="0.3">
      <c r="A119" t="s">
        <v>140</v>
      </c>
      <c r="B119" t="s">
        <v>18</v>
      </c>
      <c r="C119">
        <v>2.1</v>
      </c>
      <c r="D119">
        <v>370</v>
      </c>
      <c r="E119">
        <v>109</v>
      </c>
      <c r="F119">
        <v>4350</v>
      </c>
      <c r="G119">
        <v>5.4</v>
      </c>
      <c r="H119">
        <v>6</v>
      </c>
      <c r="I119" t="s">
        <v>12</v>
      </c>
      <c r="J119" t="s">
        <v>22</v>
      </c>
    </row>
    <row r="120" spans="1:10" x14ac:dyDescent="0.3">
      <c r="A120" t="s">
        <v>141</v>
      </c>
      <c r="B120" t="s">
        <v>30</v>
      </c>
      <c r="C120">
        <v>2.2000000000000002</v>
      </c>
      <c r="D120">
        <v>253</v>
      </c>
      <c r="E120">
        <v>26</v>
      </c>
      <c r="F120">
        <v>4469</v>
      </c>
      <c r="G120">
        <v>3.6</v>
      </c>
      <c r="H120">
        <v>8</v>
      </c>
      <c r="I120" t="s">
        <v>24</v>
      </c>
      <c r="J120" t="s">
        <v>22</v>
      </c>
    </row>
    <row r="121" spans="1:10" x14ac:dyDescent="0.3">
      <c r="A121" t="s">
        <v>142</v>
      </c>
      <c r="B121" t="s">
        <v>27</v>
      </c>
      <c r="C121">
        <v>1.4</v>
      </c>
      <c r="D121">
        <v>498</v>
      </c>
      <c r="E121">
        <v>87</v>
      </c>
      <c r="F121">
        <v>4407</v>
      </c>
      <c r="G121">
        <v>7.4</v>
      </c>
      <c r="H121">
        <v>6</v>
      </c>
      <c r="I121" t="s">
        <v>19</v>
      </c>
      <c r="J121" t="s">
        <v>22</v>
      </c>
    </row>
    <row r="122" spans="1:10" x14ac:dyDescent="0.3">
      <c r="A122" t="s">
        <v>143</v>
      </c>
      <c r="B122" t="s">
        <v>38</v>
      </c>
      <c r="C122">
        <v>1.7</v>
      </c>
      <c r="D122">
        <v>480</v>
      </c>
      <c r="E122">
        <v>48</v>
      </c>
      <c r="F122">
        <v>3734</v>
      </c>
      <c r="G122">
        <v>4.3</v>
      </c>
      <c r="H122">
        <v>6</v>
      </c>
      <c r="I122" t="s">
        <v>12</v>
      </c>
      <c r="J122" t="s">
        <v>16</v>
      </c>
    </row>
    <row r="123" spans="1:10" x14ac:dyDescent="0.3">
      <c r="A123" t="s">
        <v>144</v>
      </c>
      <c r="B123" t="s">
        <v>11</v>
      </c>
      <c r="C123">
        <v>2.2999999999999998</v>
      </c>
      <c r="D123">
        <v>480</v>
      </c>
      <c r="E123">
        <v>116</v>
      </c>
      <c r="F123">
        <v>4164</v>
      </c>
      <c r="G123">
        <v>3.1</v>
      </c>
      <c r="H123">
        <v>6</v>
      </c>
      <c r="I123" t="s">
        <v>19</v>
      </c>
      <c r="J123" t="s">
        <v>22</v>
      </c>
    </row>
    <row r="124" spans="1:10" x14ac:dyDescent="0.3">
      <c r="A124" t="s">
        <v>145</v>
      </c>
      <c r="B124" t="s">
        <v>11</v>
      </c>
      <c r="C124">
        <v>3.6</v>
      </c>
      <c r="D124">
        <v>500</v>
      </c>
      <c r="E124">
        <v>106</v>
      </c>
      <c r="F124">
        <v>2926</v>
      </c>
      <c r="G124">
        <v>9.1999999999999993</v>
      </c>
      <c r="H124">
        <v>8</v>
      </c>
      <c r="I124" t="s">
        <v>12</v>
      </c>
      <c r="J124" t="s">
        <v>13</v>
      </c>
    </row>
    <row r="125" spans="1:10" x14ac:dyDescent="0.3">
      <c r="A125" t="s">
        <v>146</v>
      </c>
      <c r="B125" t="s">
        <v>27</v>
      </c>
      <c r="C125">
        <v>4.4000000000000004</v>
      </c>
      <c r="D125">
        <v>242</v>
      </c>
      <c r="E125">
        <v>79</v>
      </c>
      <c r="F125">
        <v>4484</v>
      </c>
      <c r="G125">
        <v>6</v>
      </c>
      <c r="H125">
        <v>6</v>
      </c>
      <c r="I125" t="s">
        <v>12</v>
      </c>
      <c r="J125" t="s">
        <v>13</v>
      </c>
    </row>
    <row r="126" spans="1:10" x14ac:dyDescent="0.3">
      <c r="A126" t="s">
        <v>147</v>
      </c>
      <c r="B126" t="s">
        <v>27</v>
      </c>
      <c r="C126">
        <v>1.3</v>
      </c>
      <c r="D126">
        <v>436</v>
      </c>
      <c r="E126">
        <v>52</v>
      </c>
      <c r="F126">
        <v>2678</v>
      </c>
      <c r="G126">
        <v>5.4</v>
      </c>
      <c r="H126">
        <v>6</v>
      </c>
      <c r="I126" t="s">
        <v>24</v>
      </c>
      <c r="J126" t="s">
        <v>13</v>
      </c>
    </row>
    <row r="127" spans="1:10" x14ac:dyDescent="0.3">
      <c r="A127" t="s">
        <v>148</v>
      </c>
      <c r="B127" t="s">
        <v>27</v>
      </c>
      <c r="C127">
        <v>1.3</v>
      </c>
      <c r="D127">
        <v>183</v>
      </c>
      <c r="E127">
        <v>113</v>
      </c>
      <c r="F127">
        <v>3223</v>
      </c>
      <c r="G127">
        <v>8.6999999999999993</v>
      </c>
      <c r="H127">
        <v>4</v>
      </c>
      <c r="I127" t="s">
        <v>19</v>
      </c>
      <c r="J127" t="s">
        <v>22</v>
      </c>
    </row>
    <row r="128" spans="1:10" x14ac:dyDescent="0.3">
      <c r="A128" t="s">
        <v>149</v>
      </c>
      <c r="B128" t="s">
        <v>11</v>
      </c>
      <c r="C128">
        <v>1.5</v>
      </c>
      <c r="D128">
        <v>380</v>
      </c>
      <c r="E128">
        <v>109</v>
      </c>
      <c r="F128">
        <v>3051</v>
      </c>
      <c r="G128">
        <v>3.4</v>
      </c>
      <c r="H128">
        <v>6</v>
      </c>
      <c r="I128" t="s">
        <v>19</v>
      </c>
      <c r="J128" t="s">
        <v>16</v>
      </c>
    </row>
    <row r="129" spans="1:10" x14ac:dyDescent="0.3">
      <c r="A129" t="s">
        <v>150</v>
      </c>
      <c r="B129" t="s">
        <v>38</v>
      </c>
      <c r="C129">
        <v>2.7</v>
      </c>
      <c r="D129">
        <v>464</v>
      </c>
      <c r="E129">
        <v>57</v>
      </c>
      <c r="F129">
        <v>4182</v>
      </c>
      <c r="G129">
        <v>6.7</v>
      </c>
      <c r="H129">
        <v>6</v>
      </c>
      <c r="I129" t="s">
        <v>19</v>
      </c>
      <c r="J129" t="s">
        <v>13</v>
      </c>
    </row>
    <row r="130" spans="1:10" x14ac:dyDescent="0.3">
      <c r="A130" t="s">
        <v>151</v>
      </c>
      <c r="B130" t="s">
        <v>15</v>
      </c>
      <c r="C130">
        <v>4.2</v>
      </c>
      <c r="D130">
        <v>149</v>
      </c>
      <c r="E130">
        <v>46</v>
      </c>
      <c r="F130">
        <v>3485</v>
      </c>
      <c r="G130">
        <v>9.3000000000000007</v>
      </c>
      <c r="H130">
        <v>4</v>
      </c>
      <c r="I130" t="s">
        <v>19</v>
      </c>
      <c r="J130" t="s">
        <v>16</v>
      </c>
    </row>
    <row r="131" spans="1:10" x14ac:dyDescent="0.3">
      <c r="A131" t="s">
        <v>152</v>
      </c>
      <c r="B131" t="s">
        <v>41</v>
      </c>
      <c r="C131">
        <v>1.9</v>
      </c>
      <c r="D131">
        <v>329</v>
      </c>
      <c r="E131">
        <v>88</v>
      </c>
      <c r="F131">
        <v>4419</v>
      </c>
      <c r="G131">
        <v>4.8</v>
      </c>
      <c r="H131">
        <v>4</v>
      </c>
      <c r="I131" t="s">
        <v>12</v>
      </c>
      <c r="J131" t="s">
        <v>13</v>
      </c>
    </row>
    <row r="132" spans="1:10" x14ac:dyDescent="0.3">
      <c r="A132" t="s">
        <v>153</v>
      </c>
      <c r="B132" t="s">
        <v>41</v>
      </c>
      <c r="C132">
        <v>4.9000000000000004</v>
      </c>
      <c r="D132">
        <v>461</v>
      </c>
      <c r="E132">
        <v>52</v>
      </c>
      <c r="F132">
        <v>3892</v>
      </c>
      <c r="G132">
        <v>4.5999999999999996</v>
      </c>
      <c r="H132">
        <v>6</v>
      </c>
      <c r="I132" t="s">
        <v>19</v>
      </c>
      <c r="J132" t="s">
        <v>22</v>
      </c>
    </row>
    <row r="133" spans="1:10" x14ac:dyDescent="0.3">
      <c r="A133" t="s">
        <v>154</v>
      </c>
      <c r="B133" t="s">
        <v>41</v>
      </c>
      <c r="C133">
        <v>3.5</v>
      </c>
      <c r="D133">
        <v>189</v>
      </c>
      <c r="E133">
        <v>54</v>
      </c>
      <c r="F133">
        <v>3415</v>
      </c>
      <c r="G133">
        <v>6.3</v>
      </c>
      <c r="H133">
        <v>8</v>
      </c>
      <c r="I133" t="s">
        <v>24</v>
      </c>
      <c r="J133" t="s">
        <v>13</v>
      </c>
    </row>
    <row r="134" spans="1:10" x14ac:dyDescent="0.3">
      <c r="A134" t="s">
        <v>155</v>
      </c>
      <c r="B134" t="s">
        <v>27</v>
      </c>
      <c r="C134">
        <v>2.4</v>
      </c>
      <c r="D134">
        <v>452</v>
      </c>
      <c r="E134">
        <v>84</v>
      </c>
      <c r="F134">
        <v>3794</v>
      </c>
      <c r="G134">
        <v>7.8</v>
      </c>
      <c r="H134">
        <v>6</v>
      </c>
      <c r="I134" t="s">
        <v>24</v>
      </c>
      <c r="J134" t="s">
        <v>13</v>
      </c>
    </row>
    <row r="135" spans="1:10" x14ac:dyDescent="0.3">
      <c r="A135" t="s">
        <v>156</v>
      </c>
      <c r="B135" t="s">
        <v>11</v>
      </c>
      <c r="C135">
        <v>2.5</v>
      </c>
      <c r="D135">
        <v>212</v>
      </c>
      <c r="E135">
        <v>68</v>
      </c>
      <c r="F135">
        <v>4424</v>
      </c>
      <c r="G135">
        <v>6.3</v>
      </c>
      <c r="H135">
        <v>8</v>
      </c>
      <c r="I135" t="s">
        <v>24</v>
      </c>
      <c r="J135" t="s">
        <v>16</v>
      </c>
    </row>
    <row r="136" spans="1:10" x14ac:dyDescent="0.3">
      <c r="A136" t="s">
        <v>157</v>
      </c>
      <c r="B136" t="s">
        <v>15</v>
      </c>
      <c r="C136">
        <v>3.6</v>
      </c>
      <c r="D136">
        <v>390</v>
      </c>
      <c r="E136">
        <v>23</v>
      </c>
      <c r="F136">
        <v>3886</v>
      </c>
      <c r="G136">
        <v>5</v>
      </c>
      <c r="H136">
        <v>8</v>
      </c>
      <c r="I136" t="s">
        <v>19</v>
      </c>
      <c r="J136" t="s">
        <v>16</v>
      </c>
    </row>
    <row r="137" spans="1:10" x14ac:dyDescent="0.3">
      <c r="A137" t="s">
        <v>158</v>
      </c>
      <c r="B137" t="s">
        <v>38</v>
      </c>
      <c r="C137">
        <v>1.9</v>
      </c>
      <c r="D137">
        <v>214</v>
      </c>
      <c r="E137">
        <v>94</v>
      </c>
      <c r="F137">
        <v>2831</v>
      </c>
      <c r="G137">
        <v>5.2</v>
      </c>
      <c r="H137">
        <v>4</v>
      </c>
      <c r="I137" t="s">
        <v>24</v>
      </c>
      <c r="J137" t="s">
        <v>13</v>
      </c>
    </row>
    <row r="138" spans="1:10" x14ac:dyDescent="0.3">
      <c r="A138" t="s">
        <v>159</v>
      </c>
      <c r="B138" t="s">
        <v>18</v>
      </c>
      <c r="C138">
        <v>2.4</v>
      </c>
      <c r="D138">
        <v>445</v>
      </c>
      <c r="E138">
        <v>96</v>
      </c>
      <c r="F138">
        <v>3991</v>
      </c>
      <c r="G138">
        <v>6.6</v>
      </c>
      <c r="H138">
        <v>4</v>
      </c>
      <c r="I138" t="s">
        <v>12</v>
      </c>
      <c r="J138" t="s">
        <v>13</v>
      </c>
    </row>
    <row r="139" spans="1:10" x14ac:dyDescent="0.3">
      <c r="A139" t="s">
        <v>160</v>
      </c>
      <c r="B139" t="s">
        <v>30</v>
      </c>
      <c r="C139">
        <v>2.5</v>
      </c>
      <c r="D139">
        <v>320</v>
      </c>
      <c r="E139">
        <v>39</v>
      </c>
      <c r="F139">
        <v>3038</v>
      </c>
      <c r="G139">
        <v>3.6</v>
      </c>
      <c r="H139">
        <v>4</v>
      </c>
      <c r="I139" t="s">
        <v>19</v>
      </c>
      <c r="J139" t="s">
        <v>22</v>
      </c>
    </row>
    <row r="140" spans="1:10" x14ac:dyDescent="0.3">
      <c r="A140" t="s">
        <v>161</v>
      </c>
      <c r="B140" t="s">
        <v>15</v>
      </c>
      <c r="C140">
        <v>2.8</v>
      </c>
      <c r="D140">
        <v>427</v>
      </c>
      <c r="E140">
        <v>21</v>
      </c>
      <c r="F140">
        <v>3153</v>
      </c>
      <c r="G140">
        <v>5.8</v>
      </c>
      <c r="H140">
        <v>4</v>
      </c>
      <c r="I140" t="s">
        <v>12</v>
      </c>
      <c r="J140" t="s">
        <v>13</v>
      </c>
    </row>
    <row r="141" spans="1:10" x14ac:dyDescent="0.3">
      <c r="A141" t="s">
        <v>162</v>
      </c>
      <c r="B141" t="s">
        <v>18</v>
      </c>
      <c r="C141">
        <v>2.8</v>
      </c>
      <c r="D141">
        <v>173</v>
      </c>
      <c r="E141">
        <v>40</v>
      </c>
      <c r="F141">
        <v>3733</v>
      </c>
      <c r="G141">
        <v>8.1</v>
      </c>
      <c r="H141">
        <v>6</v>
      </c>
      <c r="I141" t="s">
        <v>24</v>
      </c>
      <c r="J141" t="s">
        <v>22</v>
      </c>
    </row>
    <row r="142" spans="1:10" x14ac:dyDescent="0.3">
      <c r="A142" t="s">
        <v>163</v>
      </c>
      <c r="B142" t="s">
        <v>15</v>
      </c>
      <c r="C142">
        <v>2.5</v>
      </c>
      <c r="D142">
        <v>282</v>
      </c>
      <c r="E142">
        <v>96</v>
      </c>
      <c r="F142">
        <v>3597</v>
      </c>
      <c r="G142">
        <v>7.5</v>
      </c>
      <c r="H142">
        <v>4</v>
      </c>
      <c r="I142" t="s">
        <v>12</v>
      </c>
      <c r="J142" t="s">
        <v>22</v>
      </c>
    </row>
    <row r="143" spans="1:10" x14ac:dyDescent="0.3">
      <c r="A143" t="s">
        <v>164</v>
      </c>
      <c r="B143" t="s">
        <v>18</v>
      </c>
      <c r="C143">
        <v>1.4</v>
      </c>
      <c r="D143">
        <v>412</v>
      </c>
      <c r="E143">
        <v>61</v>
      </c>
      <c r="F143">
        <v>3721</v>
      </c>
      <c r="G143">
        <v>3.9</v>
      </c>
      <c r="H143">
        <v>8</v>
      </c>
      <c r="I143" t="s">
        <v>19</v>
      </c>
      <c r="J143" t="s">
        <v>22</v>
      </c>
    </row>
    <row r="144" spans="1:10" x14ac:dyDescent="0.3">
      <c r="A144" t="s">
        <v>165</v>
      </c>
      <c r="B144" t="s">
        <v>38</v>
      </c>
      <c r="C144">
        <v>1.1000000000000001</v>
      </c>
      <c r="D144">
        <v>228</v>
      </c>
      <c r="E144">
        <v>98</v>
      </c>
      <c r="F144">
        <v>3571</v>
      </c>
      <c r="G144">
        <v>3.8</v>
      </c>
      <c r="H144">
        <v>4</v>
      </c>
      <c r="I144" t="s">
        <v>12</v>
      </c>
      <c r="J144" t="s">
        <v>22</v>
      </c>
    </row>
    <row r="145" spans="1:10" x14ac:dyDescent="0.3">
      <c r="A145" t="s">
        <v>166</v>
      </c>
      <c r="B145" t="s">
        <v>11</v>
      </c>
      <c r="C145">
        <v>3.7</v>
      </c>
      <c r="D145">
        <v>250</v>
      </c>
      <c r="E145">
        <v>37</v>
      </c>
      <c r="F145">
        <v>3307</v>
      </c>
      <c r="G145">
        <v>7.5</v>
      </c>
      <c r="H145">
        <v>6</v>
      </c>
      <c r="I145" t="s">
        <v>19</v>
      </c>
      <c r="J145" t="s">
        <v>16</v>
      </c>
    </row>
    <row r="146" spans="1:10" x14ac:dyDescent="0.3">
      <c r="A146" t="s">
        <v>167</v>
      </c>
      <c r="B146" t="s">
        <v>15</v>
      </c>
      <c r="C146">
        <v>3.1</v>
      </c>
      <c r="D146">
        <v>352</v>
      </c>
      <c r="E146">
        <v>91</v>
      </c>
      <c r="F146">
        <v>3398</v>
      </c>
      <c r="G146">
        <v>9.4</v>
      </c>
      <c r="H146">
        <v>4</v>
      </c>
      <c r="I146" t="s">
        <v>12</v>
      </c>
      <c r="J146" t="s">
        <v>16</v>
      </c>
    </row>
    <row r="147" spans="1:10" x14ac:dyDescent="0.3">
      <c r="A147" t="s">
        <v>168</v>
      </c>
      <c r="B147" t="s">
        <v>38</v>
      </c>
      <c r="C147">
        <v>2.4</v>
      </c>
      <c r="D147">
        <v>204</v>
      </c>
      <c r="E147">
        <v>53</v>
      </c>
      <c r="F147">
        <v>3809</v>
      </c>
      <c r="G147">
        <v>5.9</v>
      </c>
      <c r="H147">
        <v>4</v>
      </c>
      <c r="I147" t="s">
        <v>12</v>
      </c>
      <c r="J147" t="s">
        <v>16</v>
      </c>
    </row>
    <row r="148" spans="1:10" x14ac:dyDescent="0.3">
      <c r="A148" t="s">
        <v>169</v>
      </c>
      <c r="B148" t="s">
        <v>11</v>
      </c>
      <c r="C148">
        <v>3.1</v>
      </c>
      <c r="D148">
        <v>173</v>
      </c>
      <c r="E148">
        <v>114</v>
      </c>
      <c r="F148">
        <v>3687</v>
      </c>
      <c r="G148">
        <v>9</v>
      </c>
      <c r="H148">
        <v>6</v>
      </c>
      <c r="I148" t="s">
        <v>12</v>
      </c>
      <c r="J148" t="s">
        <v>22</v>
      </c>
    </row>
    <row r="149" spans="1:10" x14ac:dyDescent="0.3">
      <c r="A149" t="s">
        <v>170</v>
      </c>
      <c r="B149" t="s">
        <v>27</v>
      </c>
      <c r="C149">
        <v>2.2999999999999998</v>
      </c>
      <c r="D149">
        <v>240</v>
      </c>
      <c r="E149">
        <v>87</v>
      </c>
      <c r="F149">
        <v>2966</v>
      </c>
      <c r="G149">
        <v>8.6999999999999993</v>
      </c>
      <c r="H149">
        <v>8</v>
      </c>
      <c r="I149" t="s">
        <v>12</v>
      </c>
      <c r="J149" t="s">
        <v>16</v>
      </c>
    </row>
    <row r="150" spans="1:10" x14ac:dyDescent="0.3">
      <c r="A150" t="s">
        <v>171</v>
      </c>
      <c r="B150" t="s">
        <v>41</v>
      </c>
      <c r="C150">
        <v>4.7</v>
      </c>
      <c r="D150">
        <v>351</v>
      </c>
      <c r="E150">
        <v>31</v>
      </c>
      <c r="F150">
        <v>3273</v>
      </c>
      <c r="G150">
        <v>6.1</v>
      </c>
      <c r="H150">
        <v>4</v>
      </c>
      <c r="I150" t="s">
        <v>12</v>
      </c>
      <c r="J150" t="s">
        <v>16</v>
      </c>
    </row>
    <row r="151" spans="1:10" x14ac:dyDescent="0.3">
      <c r="A151" t="s">
        <v>172</v>
      </c>
      <c r="B151" t="s">
        <v>15</v>
      </c>
      <c r="C151">
        <v>3.7</v>
      </c>
      <c r="D151">
        <v>340</v>
      </c>
      <c r="E151">
        <v>45</v>
      </c>
      <c r="F151">
        <v>3987</v>
      </c>
      <c r="G151">
        <v>6.1</v>
      </c>
      <c r="H151">
        <v>4</v>
      </c>
      <c r="I151" t="s">
        <v>24</v>
      </c>
      <c r="J151" t="s">
        <v>22</v>
      </c>
    </row>
    <row r="152" spans="1:10" x14ac:dyDescent="0.3">
      <c r="A152" t="s">
        <v>173</v>
      </c>
      <c r="B152" t="s">
        <v>38</v>
      </c>
      <c r="C152">
        <v>1.9</v>
      </c>
      <c r="D152">
        <v>402</v>
      </c>
      <c r="E152">
        <v>36</v>
      </c>
      <c r="F152">
        <v>3465</v>
      </c>
      <c r="G152">
        <v>3.8</v>
      </c>
      <c r="H152">
        <v>8</v>
      </c>
      <c r="I152" t="s">
        <v>19</v>
      </c>
      <c r="J152" t="s">
        <v>22</v>
      </c>
    </row>
    <row r="153" spans="1:10" x14ac:dyDescent="0.3">
      <c r="A153" t="s">
        <v>174</v>
      </c>
      <c r="B153" t="s">
        <v>18</v>
      </c>
      <c r="C153">
        <v>1.8</v>
      </c>
      <c r="D153">
        <v>267</v>
      </c>
      <c r="E153">
        <v>39</v>
      </c>
      <c r="F153">
        <v>3871</v>
      </c>
      <c r="G153">
        <v>3.1</v>
      </c>
      <c r="H153">
        <v>8</v>
      </c>
      <c r="I153" t="s">
        <v>12</v>
      </c>
      <c r="J153" t="s">
        <v>16</v>
      </c>
    </row>
    <row r="154" spans="1:10" x14ac:dyDescent="0.3">
      <c r="A154" t="s">
        <v>175</v>
      </c>
      <c r="B154" t="s">
        <v>18</v>
      </c>
      <c r="C154">
        <v>3.7</v>
      </c>
      <c r="D154">
        <v>362</v>
      </c>
      <c r="E154">
        <v>33</v>
      </c>
      <c r="F154">
        <v>3290</v>
      </c>
      <c r="G154">
        <v>7.1</v>
      </c>
      <c r="H154">
        <v>6</v>
      </c>
      <c r="I154" t="s">
        <v>24</v>
      </c>
      <c r="J154" t="s">
        <v>13</v>
      </c>
    </row>
    <row r="155" spans="1:10" x14ac:dyDescent="0.3">
      <c r="A155" t="s">
        <v>176</v>
      </c>
      <c r="B155" t="s">
        <v>27</v>
      </c>
      <c r="C155">
        <v>2.6</v>
      </c>
      <c r="D155">
        <v>201</v>
      </c>
      <c r="E155">
        <v>79</v>
      </c>
      <c r="F155">
        <v>2725</v>
      </c>
      <c r="G155">
        <v>7.8</v>
      </c>
      <c r="H155">
        <v>4</v>
      </c>
      <c r="I155" t="s">
        <v>24</v>
      </c>
      <c r="J155" t="s">
        <v>13</v>
      </c>
    </row>
    <row r="156" spans="1:10" x14ac:dyDescent="0.3">
      <c r="A156" t="s">
        <v>177</v>
      </c>
      <c r="B156" t="s">
        <v>18</v>
      </c>
      <c r="C156">
        <v>1.1000000000000001</v>
      </c>
      <c r="D156">
        <v>483</v>
      </c>
      <c r="E156">
        <v>26</v>
      </c>
      <c r="F156">
        <v>2930</v>
      </c>
      <c r="G156">
        <v>8.3000000000000007</v>
      </c>
      <c r="H156">
        <v>6</v>
      </c>
      <c r="I156" t="s">
        <v>12</v>
      </c>
      <c r="J156" t="s">
        <v>16</v>
      </c>
    </row>
    <row r="157" spans="1:10" x14ac:dyDescent="0.3">
      <c r="A157" t="s">
        <v>178</v>
      </c>
      <c r="B157" t="s">
        <v>15</v>
      </c>
      <c r="C157">
        <v>2.2999999999999998</v>
      </c>
      <c r="D157">
        <v>438</v>
      </c>
      <c r="E157">
        <v>41</v>
      </c>
      <c r="F157">
        <v>3470</v>
      </c>
      <c r="G157">
        <v>8.6999999999999993</v>
      </c>
      <c r="H157">
        <v>4</v>
      </c>
      <c r="I157" t="s">
        <v>12</v>
      </c>
      <c r="J157" t="s">
        <v>16</v>
      </c>
    </row>
    <row r="158" spans="1:10" x14ac:dyDescent="0.3">
      <c r="A158" t="s">
        <v>179</v>
      </c>
      <c r="B158" t="s">
        <v>15</v>
      </c>
      <c r="C158">
        <v>1.5</v>
      </c>
      <c r="D158">
        <v>368</v>
      </c>
      <c r="E158">
        <v>56</v>
      </c>
      <c r="F158">
        <v>2598</v>
      </c>
      <c r="G158">
        <v>9.5</v>
      </c>
      <c r="H158">
        <v>4</v>
      </c>
      <c r="I158" t="s">
        <v>24</v>
      </c>
      <c r="J158" t="s">
        <v>13</v>
      </c>
    </row>
    <row r="159" spans="1:10" x14ac:dyDescent="0.3">
      <c r="A159" t="s">
        <v>180</v>
      </c>
      <c r="B159" t="s">
        <v>27</v>
      </c>
      <c r="C159">
        <v>3</v>
      </c>
      <c r="D159">
        <v>302</v>
      </c>
      <c r="E159">
        <v>77</v>
      </c>
      <c r="F159">
        <v>4373</v>
      </c>
      <c r="G159">
        <v>5.2</v>
      </c>
      <c r="H159">
        <v>6</v>
      </c>
      <c r="I159" t="s">
        <v>24</v>
      </c>
      <c r="J159" t="s">
        <v>22</v>
      </c>
    </row>
    <row r="160" spans="1:10" x14ac:dyDescent="0.3">
      <c r="A160" t="s">
        <v>181</v>
      </c>
      <c r="B160" t="s">
        <v>38</v>
      </c>
      <c r="C160">
        <v>2.7</v>
      </c>
      <c r="D160">
        <v>239</v>
      </c>
      <c r="E160">
        <v>34</v>
      </c>
      <c r="F160">
        <v>3164</v>
      </c>
      <c r="G160">
        <v>3.4</v>
      </c>
      <c r="H160">
        <v>8</v>
      </c>
      <c r="I160" t="s">
        <v>19</v>
      </c>
      <c r="J160" t="s">
        <v>16</v>
      </c>
    </row>
    <row r="161" spans="1:10" x14ac:dyDescent="0.3">
      <c r="A161" t="s">
        <v>182</v>
      </c>
      <c r="B161" t="s">
        <v>30</v>
      </c>
      <c r="C161">
        <v>3.4</v>
      </c>
      <c r="D161">
        <v>325</v>
      </c>
      <c r="E161">
        <v>64</v>
      </c>
      <c r="F161">
        <v>4132</v>
      </c>
      <c r="G161">
        <v>3</v>
      </c>
      <c r="H161">
        <v>6</v>
      </c>
      <c r="I161" t="s">
        <v>24</v>
      </c>
      <c r="J161" t="s">
        <v>22</v>
      </c>
    </row>
    <row r="162" spans="1:10" x14ac:dyDescent="0.3">
      <c r="A162" t="s">
        <v>183</v>
      </c>
      <c r="B162" t="s">
        <v>41</v>
      </c>
      <c r="C162">
        <v>2.4</v>
      </c>
      <c r="D162">
        <v>401</v>
      </c>
      <c r="E162">
        <v>92</v>
      </c>
      <c r="F162">
        <v>3335</v>
      </c>
      <c r="G162">
        <v>7.7</v>
      </c>
      <c r="H162">
        <v>8</v>
      </c>
      <c r="I162" t="s">
        <v>24</v>
      </c>
      <c r="J162" t="s">
        <v>22</v>
      </c>
    </row>
    <row r="163" spans="1:10" x14ac:dyDescent="0.3">
      <c r="A163" t="s">
        <v>184</v>
      </c>
      <c r="B163" t="s">
        <v>38</v>
      </c>
      <c r="C163">
        <v>3.7</v>
      </c>
      <c r="D163">
        <v>114</v>
      </c>
      <c r="E163">
        <v>112</v>
      </c>
      <c r="F163">
        <v>3996</v>
      </c>
      <c r="G163">
        <v>9</v>
      </c>
      <c r="H163">
        <v>8</v>
      </c>
      <c r="I163" t="s">
        <v>19</v>
      </c>
      <c r="J163" t="s">
        <v>22</v>
      </c>
    </row>
    <row r="164" spans="1:10" x14ac:dyDescent="0.3">
      <c r="A164" t="s">
        <v>185</v>
      </c>
      <c r="B164" t="s">
        <v>11</v>
      </c>
      <c r="C164">
        <v>3</v>
      </c>
      <c r="D164">
        <v>200</v>
      </c>
      <c r="E164">
        <v>116</v>
      </c>
      <c r="F164">
        <v>4480</v>
      </c>
      <c r="G164">
        <v>9.6999999999999993</v>
      </c>
      <c r="H164">
        <v>6</v>
      </c>
      <c r="I164" t="s">
        <v>12</v>
      </c>
      <c r="J164" t="s">
        <v>22</v>
      </c>
    </row>
    <row r="165" spans="1:10" x14ac:dyDescent="0.3">
      <c r="A165" t="s">
        <v>186</v>
      </c>
      <c r="B165" t="s">
        <v>18</v>
      </c>
      <c r="C165">
        <v>3.9</v>
      </c>
      <c r="D165">
        <v>117</v>
      </c>
      <c r="E165">
        <v>41</v>
      </c>
      <c r="F165">
        <v>3200</v>
      </c>
      <c r="G165">
        <v>9.8000000000000007</v>
      </c>
      <c r="H165">
        <v>6</v>
      </c>
      <c r="I165" t="s">
        <v>12</v>
      </c>
      <c r="J165" t="s">
        <v>22</v>
      </c>
    </row>
    <row r="166" spans="1:10" x14ac:dyDescent="0.3">
      <c r="A166" t="s">
        <v>187</v>
      </c>
      <c r="B166" t="s">
        <v>15</v>
      </c>
      <c r="C166">
        <v>4.3</v>
      </c>
      <c r="D166">
        <v>309</v>
      </c>
      <c r="E166">
        <v>28</v>
      </c>
      <c r="F166">
        <v>2966</v>
      </c>
      <c r="G166">
        <v>9.9</v>
      </c>
      <c r="H166">
        <v>6</v>
      </c>
      <c r="I166" t="s">
        <v>19</v>
      </c>
      <c r="J166" t="s">
        <v>16</v>
      </c>
    </row>
    <row r="167" spans="1:10" x14ac:dyDescent="0.3">
      <c r="A167" t="s">
        <v>188</v>
      </c>
      <c r="B167" t="s">
        <v>41</v>
      </c>
      <c r="C167">
        <v>2.5</v>
      </c>
      <c r="D167">
        <v>431</v>
      </c>
      <c r="E167">
        <v>88</v>
      </c>
      <c r="F167">
        <v>2812</v>
      </c>
      <c r="G167">
        <v>5.0999999999999996</v>
      </c>
      <c r="H167">
        <v>4</v>
      </c>
      <c r="I167" t="s">
        <v>19</v>
      </c>
      <c r="J167" t="s">
        <v>13</v>
      </c>
    </row>
    <row r="168" spans="1:10" x14ac:dyDescent="0.3">
      <c r="A168" t="s">
        <v>189</v>
      </c>
      <c r="B168" t="s">
        <v>15</v>
      </c>
      <c r="C168">
        <v>2.7</v>
      </c>
      <c r="D168">
        <v>497</v>
      </c>
      <c r="E168">
        <v>34</v>
      </c>
      <c r="F168">
        <v>3931</v>
      </c>
      <c r="G168">
        <v>5.4</v>
      </c>
      <c r="H168">
        <v>6</v>
      </c>
      <c r="I168" t="s">
        <v>12</v>
      </c>
      <c r="J168" t="s">
        <v>16</v>
      </c>
    </row>
    <row r="169" spans="1:10" x14ac:dyDescent="0.3">
      <c r="A169" t="s">
        <v>190</v>
      </c>
      <c r="B169" t="s">
        <v>30</v>
      </c>
      <c r="C169">
        <v>2.2999999999999998</v>
      </c>
      <c r="D169">
        <v>334</v>
      </c>
      <c r="E169">
        <v>18</v>
      </c>
      <c r="F169">
        <v>4334</v>
      </c>
      <c r="G169">
        <v>9.8000000000000007</v>
      </c>
      <c r="H169">
        <v>6</v>
      </c>
      <c r="I169" t="s">
        <v>24</v>
      </c>
      <c r="J169" t="s">
        <v>22</v>
      </c>
    </row>
    <row r="170" spans="1:10" x14ac:dyDescent="0.3">
      <c r="A170" t="s">
        <v>191</v>
      </c>
      <c r="B170" t="s">
        <v>30</v>
      </c>
      <c r="C170">
        <v>3.6</v>
      </c>
      <c r="D170">
        <v>498</v>
      </c>
      <c r="E170">
        <v>67</v>
      </c>
      <c r="F170">
        <v>4315</v>
      </c>
      <c r="G170">
        <v>7.2</v>
      </c>
      <c r="H170">
        <v>4</v>
      </c>
      <c r="I170" t="s">
        <v>12</v>
      </c>
      <c r="J170" t="s">
        <v>13</v>
      </c>
    </row>
    <row r="171" spans="1:10" x14ac:dyDescent="0.3">
      <c r="A171" t="s">
        <v>192</v>
      </c>
      <c r="B171" t="s">
        <v>27</v>
      </c>
      <c r="C171">
        <v>2.8</v>
      </c>
      <c r="D171">
        <v>336</v>
      </c>
      <c r="E171">
        <v>112</v>
      </c>
      <c r="F171">
        <v>4289</v>
      </c>
      <c r="G171">
        <v>10</v>
      </c>
      <c r="H171">
        <v>8</v>
      </c>
      <c r="I171" t="s">
        <v>19</v>
      </c>
      <c r="J171" t="s">
        <v>22</v>
      </c>
    </row>
    <row r="172" spans="1:10" x14ac:dyDescent="0.3">
      <c r="A172" t="s">
        <v>193</v>
      </c>
      <c r="B172" t="s">
        <v>15</v>
      </c>
      <c r="C172">
        <v>2.4</v>
      </c>
      <c r="D172">
        <v>485</v>
      </c>
      <c r="E172">
        <v>99</v>
      </c>
      <c r="F172">
        <v>3606</v>
      </c>
      <c r="G172">
        <v>9.1999999999999993</v>
      </c>
      <c r="H172">
        <v>4</v>
      </c>
      <c r="I172" t="s">
        <v>24</v>
      </c>
      <c r="J172" t="s">
        <v>22</v>
      </c>
    </row>
    <row r="173" spans="1:10" x14ac:dyDescent="0.3">
      <c r="A173" t="s">
        <v>194</v>
      </c>
      <c r="B173" t="s">
        <v>41</v>
      </c>
      <c r="C173">
        <v>4.8</v>
      </c>
      <c r="D173">
        <v>221</v>
      </c>
      <c r="E173">
        <v>27</v>
      </c>
      <c r="F173">
        <v>2565</v>
      </c>
      <c r="G173">
        <v>5.7</v>
      </c>
      <c r="H173">
        <v>4</v>
      </c>
      <c r="I173" t="s">
        <v>12</v>
      </c>
      <c r="J173" t="s">
        <v>13</v>
      </c>
    </row>
    <row r="174" spans="1:10" x14ac:dyDescent="0.3">
      <c r="A174" t="s">
        <v>195</v>
      </c>
      <c r="B174" t="s">
        <v>38</v>
      </c>
      <c r="C174">
        <v>2.1</v>
      </c>
      <c r="D174">
        <v>263</v>
      </c>
      <c r="E174">
        <v>104</v>
      </c>
      <c r="F174">
        <v>3230</v>
      </c>
      <c r="G174">
        <v>8.9</v>
      </c>
      <c r="H174">
        <v>8</v>
      </c>
      <c r="I174" t="s">
        <v>19</v>
      </c>
      <c r="J174" t="s">
        <v>13</v>
      </c>
    </row>
    <row r="175" spans="1:10" x14ac:dyDescent="0.3">
      <c r="A175" t="s">
        <v>196</v>
      </c>
      <c r="B175" t="s">
        <v>15</v>
      </c>
      <c r="C175">
        <v>3.4</v>
      </c>
      <c r="D175">
        <v>175</v>
      </c>
      <c r="E175">
        <v>111</v>
      </c>
      <c r="F175">
        <v>3436</v>
      </c>
      <c r="G175">
        <v>6.5</v>
      </c>
      <c r="H175">
        <v>8</v>
      </c>
      <c r="I175" t="s">
        <v>12</v>
      </c>
      <c r="J175" t="s">
        <v>16</v>
      </c>
    </row>
    <row r="176" spans="1:10" x14ac:dyDescent="0.3">
      <c r="A176" t="s">
        <v>197</v>
      </c>
      <c r="B176" t="s">
        <v>11</v>
      </c>
      <c r="C176">
        <v>4.3</v>
      </c>
      <c r="D176">
        <v>229</v>
      </c>
      <c r="E176">
        <v>33</v>
      </c>
      <c r="F176">
        <v>4428</v>
      </c>
      <c r="G176">
        <v>7.5</v>
      </c>
      <c r="H176">
        <v>6</v>
      </c>
      <c r="I176" t="s">
        <v>12</v>
      </c>
      <c r="J176" t="s">
        <v>22</v>
      </c>
    </row>
    <row r="177" spans="1:10" x14ac:dyDescent="0.3">
      <c r="A177" t="s">
        <v>198</v>
      </c>
      <c r="B177" t="s">
        <v>18</v>
      </c>
      <c r="C177">
        <v>4.2</v>
      </c>
      <c r="D177">
        <v>195</v>
      </c>
      <c r="E177">
        <v>39</v>
      </c>
      <c r="F177">
        <v>4343</v>
      </c>
      <c r="G177">
        <v>3.1</v>
      </c>
      <c r="H177">
        <v>8</v>
      </c>
      <c r="I177" t="s">
        <v>12</v>
      </c>
      <c r="J177" t="s">
        <v>13</v>
      </c>
    </row>
    <row r="178" spans="1:10" x14ac:dyDescent="0.3">
      <c r="A178" t="s">
        <v>199</v>
      </c>
      <c r="B178" t="s">
        <v>27</v>
      </c>
      <c r="C178">
        <v>3.9</v>
      </c>
      <c r="D178">
        <v>445</v>
      </c>
      <c r="E178">
        <v>66</v>
      </c>
      <c r="F178">
        <v>2570</v>
      </c>
      <c r="G178">
        <v>6.4</v>
      </c>
      <c r="H178">
        <v>6</v>
      </c>
      <c r="I178" t="s">
        <v>19</v>
      </c>
      <c r="J178" t="s">
        <v>22</v>
      </c>
    </row>
    <row r="179" spans="1:10" x14ac:dyDescent="0.3">
      <c r="A179" t="s">
        <v>200</v>
      </c>
      <c r="B179" t="s">
        <v>30</v>
      </c>
      <c r="C179">
        <v>2.8</v>
      </c>
      <c r="D179">
        <v>210</v>
      </c>
      <c r="E179">
        <v>101</v>
      </c>
      <c r="F179">
        <v>3999</v>
      </c>
      <c r="G179">
        <v>9.9</v>
      </c>
      <c r="H179">
        <v>6</v>
      </c>
      <c r="I179" t="s">
        <v>24</v>
      </c>
      <c r="J179" t="s">
        <v>13</v>
      </c>
    </row>
    <row r="180" spans="1:10" x14ac:dyDescent="0.3">
      <c r="A180" t="s">
        <v>201</v>
      </c>
      <c r="B180" t="s">
        <v>27</v>
      </c>
      <c r="C180">
        <v>2.2999999999999998</v>
      </c>
      <c r="D180">
        <v>323</v>
      </c>
      <c r="E180">
        <v>89</v>
      </c>
      <c r="F180">
        <v>3593</v>
      </c>
      <c r="G180">
        <v>9</v>
      </c>
      <c r="H180">
        <v>8</v>
      </c>
      <c r="I180" t="s">
        <v>24</v>
      </c>
      <c r="J180" t="s">
        <v>16</v>
      </c>
    </row>
    <row r="181" spans="1:10" x14ac:dyDescent="0.3">
      <c r="A181" t="s">
        <v>202</v>
      </c>
      <c r="B181" t="s">
        <v>15</v>
      </c>
      <c r="C181">
        <v>3.2</v>
      </c>
      <c r="D181">
        <v>364</v>
      </c>
      <c r="E181">
        <v>70</v>
      </c>
      <c r="F181">
        <v>3904</v>
      </c>
      <c r="G181">
        <v>6.2</v>
      </c>
      <c r="H181">
        <v>8</v>
      </c>
      <c r="I181" t="s">
        <v>24</v>
      </c>
      <c r="J181" t="s">
        <v>22</v>
      </c>
    </row>
    <row r="182" spans="1:10" x14ac:dyDescent="0.3">
      <c r="A182" t="s">
        <v>203</v>
      </c>
      <c r="B182" t="s">
        <v>38</v>
      </c>
      <c r="C182">
        <v>4.2</v>
      </c>
      <c r="D182">
        <v>246</v>
      </c>
      <c r="E182">
        <v>62</v>
      </c>
      <c r="F182">
        <v>3897</v>
      </c>
      <c r="G182">
        <v>7.1</v>
      </c>
      <c r="H182">
        <v>6</v>
      </c>
      <c r="I182" t="s">
        <v>24</v>
      </c>
      <c r="J182" t="s">
        <v>22</v>
      </c>
    </row>
    <row r="183" spans="1:10" x14ac:dyDescent="0.3">
      <c r="A183" t="s">
        <v>204</v>
      </c>
      <c r="B183" t="s">
        <v>18</v>
      </c>
      <c r="C183">
        <v>4.5999999999999996</v>
      </c>
      <c r="D183">
        <v>171</v>
      </c>
      <c r="E183">
        <v>71</v>
      </c>
      <c r="F183">
        <v>4134</v>
      </c>
      <c r="G183">
        <v>7.4</v>
      </c>
      <c r="H183">
        <v>6</v>
      </c>
      <c r="I183" t="s">
        <v>24</v>
      </c>
      <c r="J183" t="s">
        <v>16</v>
      </c>
    </row>
    <row r="184" spans="1:10" x14ac:dyDescent="0.3">
      <c r="A184" t="s">
        <v>205</v>
      </c>
      <c r="B184" t="s">
        <v>27</v>
      </c>
      <c r="C184">
        <v>1.7</v>
      </c>
      <c r="D184">
        <v>469</v>
      </c>
      <c r="E184">
        <v>109</v>
      </c>
      <c r="F184">
        <v>2561</v>
      </c>
      <c r="G184">
        <v>3.9</v>
      </c>
      <c r="H184">
        <v>4</v>
      </c>
      <c r="I184" t="s">
        <v>19</v>
      </c>
      <c r="J184" t="s">
        <v>13</v>
      </c>
    </row>
    <row r="185" spans="1:10" x14ac:dyDescent="0.3">
      <c r="A185" t="s">
        <v>206</v>
      </c>
      <c r="B185" t="s">
        <v>41</v>
      </c>
      <c r="C185">
        <v>3</v>
      </c>
      <c r="D185">
        <v>274</v>
      </c>
      <c r="E185">
        <v>60</v>
      </c>
      <c r="F185">
        <v>4422</v>
      </c>
      <c r="G185">
        <v>8.3000000000000007</v>
      </c>
      <c r="H185">
        <v>4</v>
      </c>
      <c r="I185" t="s">
        <v>19</v>
      </c>
      <c r="J185" t="s">
        <v>22</v>
      </c>
    </row>
    <row r="186" spans="1:10" x14ac:dyDescent="0.3">
      <c r="A186" t="s">
        <v>207</v>
      </c>
      <c r="B186" t="s">
        <v>27</v>
      </c>
      <c r="C186">
        <v>3.7</v>
      </c>
      <c r="D186">
        <v>171</v>
      </c>
      <c r="E186">
        <v>75</v>
      </c>
      <c r="F186">
        <v>3541</v>
      </c>
      <c r="G186">
        <v>5.0999999999999996</v>
      </c>
      <c r="H186">
        <v>8</v>
      </c>
      <c r="I186" t="s">
        <v>12</v>
      </c>
      <c r="J186" t="s">
        <v>22</v>
      </c>
    </row>
    <row r="187" spans="1:10" x14ac:dyDescent="0.3">
      <c r="A187" t="s">
        <v>208</v>
      </c>
      <c r="B187" t="s">
        <v>38</v>
      </c>
      <c r="C187">
        <v>4.4000000000000004</v>
      </c>
      <c r="D187">
        <v>437</v>
      </c>
      <c r="E187">
        <v>78</v>
      </c>
      <c r="F187">
        <v>4259</v>
      </c>
      <c r="G187">
        <v>5.9</v>
      </c>
      <c r="H187">
        <v>8</v>
      </c>
      <c r="I187" t="s">
        <v>24</v>
      </c>
      <c r="J187" t="s">
        <v>13</v>
      </c>
    </row>
    <row r="188" spans="1:10" x14ac:dyDescent="0.3">
      <c r="A188" t="s">
        <v>209</v>
      </c>
      <c r="B188" t="s">
        <v>18</v>
      </c>
      <c r="C188">
        <v>4.7</v>
      </c>
      <c r="D188">
        <v>372</v>
      </c>
      <c r="E188">
        <v>15</v>
      </c>
      <c r="F188">
        <v>3959</v>
      </c>
      <c r="G188">
        <v>4.2</v>
      </c>
      <c r="H188">
        <v>8</v>
      </c>
      <c r="I188" t="s">
        <v>24</v>
      </c>
      <c r="J188" t="s">
        <v>16</v>
      </c>
    </row>
    <row r="189" spans="1:10" x14ac:dyDescent="0.3">
      <c r="A189" t="s">
        <v>210</v>
      </c>
      <c r="B189" t="s">
        <v>38</v>
      </c>
      <c r="C189">
        <v>2.9</v>
      </c>
      <c r="D189">
        <v>409</v>
      </c>
      <c r="E189">
        <v>69</v>
      </c>
      <c r="F189">
        <v>3962</v>
      </c>
      <c r="G189">
        <v>6.5</v>
      </c>
      <c r="H189">
        <v>4</v>
      </c>
      <c r="I189" t="s">
        <v>24</v>
      </c>
      <c r="J189" t="s">
        <v>16</v>
      </c>
    </row>
    <row r="190" spans="1:10" x14ac:dyDescent="0.3">
      <c r="A190" t="s">
        <v>211</v>
      </c>
      <c r="B190" t="s">
        <v>18</v>
      </c>
      <c r="C190">
        <v>1.3</v>
      </c>
      <c r="D190">
        <v>310</v>
      </c>
      <c r="E190">
        <v>93</v>
      </c>
      <c r="F190">
        <v>3856</v>
      </c>
      <c r="G190">
        <v>6.2</v>
      </c>
      <c r="H190">
        <v>4</v>
      </c>
      <c r="I190" t="s">
        <v>24</v>
      </c>
      <c r="J190" t="s">
        <v>22</v>
      </c>
    </row>
    <row r="191" spans="1:10" x14ac:dyDescent="0.3">
      <c r="A191" t="s">
        <v>212</v>
      </c>
      <c r="B191" t="s">
        <v>38</v>
      </c>
      <c r="C191">
        <v>4.5999999999999996</v>
      </c>
      <c r="D191">
        <v>111</v>
      </c>
      <c r="E191">
        <v>109</v>
      </c>
      <c r="F191">
        <v>3452</v>
      </c>
      <c r="G191">
        <v>4.2</v>
      </c>
      <c r="H191">
        <v>4</v>
      </c>
      <c r="I191" t="s">
        <v>24</v>
      </c>
      <c r="J191" t="s">
        <v>16</v>
      </c>
    </row>
    <row r="192" spans="1:10" x14ac:dyDescent="0.3">
      <c r="A192" t="s">
        <v>213</v>
      </c>
      <c r="B192" t="s">
        <v>18</v>
      </c>
      <c r="C192">
        <v>2.2999999999999998</v>
      </c>
      <c r="D192">
        <v>454</v>
      </c>
      <c r="E192">
        <v>108</v>
      </c>
      <c r="F192">
        <v>3769</v>
      </c>
      <c r="G192">
        <v>7</v>
      </c>
      <c r="H192">
        <v>6</v>
      </c>
      <c r="I192" t="s">
        <v>19</v>
      </c>
      <c r="J192" t="s">
        <v>13</v>
      </c>
    </row>
    <row r="193" spans="1:10" x14ac:dyDescent="0.3">
      <c r="A193" t="s">
        <v>214</v>
      </c>
      <c r="B193" t="s">
        <v>30</v>
      </c>
      <c r="C193">
        <v>4.9000000000000004</v>
      </c>
      <c r="D193">
        <v>266</v>
      </c>
      <c r="E193">
        <v>107</v>
      </c>
      <c r="F193">
        <v>3529</v>
      </c>
      <c r="G193">
        <v>3.4</v>
      </c>
      <c r="H193">
        <v>8</v>
      </c>
      <c r="I193" t="s">
        <v>19</v>
      </c>
      <c r="J193" t="s">
        <v>22</v>
      </c>
    </row>
    <row r="194" spans="1:10" x14ac:dyDescent="0.3">
      <c r="A194" t="s">
        <v>215</v>
      </c>
      <c r="B194" t="s">
        <v>11</v>
      </c>
      <c r="C194">
        <v>4.2</v>
      </c>
      <c r="D194">
        <v>318</v>
      </c>
      <c r="E194">
        <v>60</v>
      </c>
      <c r="F194">
        <v>3313</v>
      </c>
      <c r="G194">
        <v>4.0999999999999996</v>
      </c>
      <c r="H194">
        <v>6</v>
      </c>
      <c r="I194" t="s">
        <v>19</v>
      </c>
      <c r="J194" t="s">
        <v>13</v>
      </c>
    </row>
    <row r="195" spans="1:10" x14ac:dyDescent="0.3">
      <c r="A195" t="s">
        <v>216</v>
      </c>
      <c r="B195" t="s">
        <v>15</v>
      </c>
      <c r="C195">
        <v>4.2</v>
      </c>
      <c r="D195">
        <v>180</v>
      </c>
      <c r="E195">
        <v>21</v>
      </c>
      <c r="F195">
        <v>4258</v>
      </c>
      <c r="G195">
        <v>6.7</v>
      </c>
      <c r="H195">
        <v>8</v>
      </c>
      <c r="I195" t="s">
        <v>12</v>
      </c>
      <c r="J195" t="s">
        <v>16</v>
      </c>
    </row>
    <row r="196" spans="1:10" x14ac:dyDescent="0.3">
      <c r="A196" t="s">
        <v>217</v>
      </c>
      <c r="B196" t="s">
        <v>18</v>
      </c>
      <c r="C196">
        <v>4.2</v>
      </c>
      <c r="D196">
        <v>263</v>
      </c>
      <c r="E196">
        <v>48</v>
      </c>
      <c r="F196">
        <v>4158</v>
      </c>
      <c r="G196">
        <v>5.9</v>
      </c>
      <c r="H196">
        <v>8</v>
      </c>
      <c r="I196" t="s">
        <v>12</v>
      </c>
      <c r="J196" t="s">
        <v>13</v>
      </c>
    </row>
    <row r="197" spans="1:10" x14ac:dyDescent="0.3">
      <c r="A197" t="s">
        <v>218</v>
      </c>
      <c r="B197" t="s">
        <v>11</v>
      </c>
      <c r="C197">
        <v>1.5</v>
      </c>
      <c r="D197">
        <v>148</v>
      </c>
      <c r="E197">
        <v>52</v>
      </c>
      <c r="F197">
        <v>3263</v>
      </c>
      <c r="G197">
        <v>8.8000000000000007</v>
      </c>
      <c r="H197">
        <v>6</v>
      </c>
      <c r="I197" t="s">
        <v>24</v>
      </c>
      <c r="J197" t="s">
        <v>16</v>
      </c>
    </row>
    <row r="198" spans="1:10" x14ac:dyDescent="0.3">
      <c r="A198" t="s">
        <v>219</v>
      </c>
      <c r="B198" t="s">
        <v>18</v>
      </c>
      <c r="C198">
        <v>2.9</v>
      </c>
      <c r="D198">
        <v>472</v>
      </c>
      <c r="E198">
        <v>53</v>
      </c>
      <c r="F198">
        <v>3230</v>
      </c>
      <c r="G198">
        <v>3.2</v>
      </c>
      <c r="H198">
        <v>8</v>
      </c>
      <c r="I198" t="s">
        <v>12</v>
      </c>
      <c r="J198" t="s">
        <v>16</v>
      </c>
    </row>
    <row r="199" spans="1:10" x14ac:dyDescent="0.3">
      <c r="A199" t="s">
        <v>220</v>
      </c>
      <c r="B199" t="s">
        <v>15</v>
      </c>
      <c r="C199">
        <v>3.6</v>
      </c>
      <c r="D199">
        <v>435</v>
      </c>
      <c r="E199">
        <v>65</v>
      </c>
      <c r="F199">
        <v>3006</v>
      </c>
      <c r="G199">
        <v>10</v>
      </c>
      <c r="H199">
        <v>8</v>
      </c>
      <c r="I199" t="s">
        <v>24</v>
      </c>
      <c r="J199" t="s">
        <v>13</v>
      </c>
    </row>
    <row r="200" spans="1:10" x14ac:dyDescent="0.3">
      <c r="A200" t="s">
        <v>221</v>
      </c>
      <c r="B200" t="s">
        <v>27</v>
      </c>
      <c r="C200">
        <v>4.5</v>
      </c>
      <c r="D200">
        <v>454</v>
      </c>
      <c r="E200">
        <v>58</v>
      </c>
      <c r="F200">
        <v>2915</v>
      </c>
      <c r="G200">
        <v>7.9</v>
      </c>
      <c r="H200">
        <v>8</v>
      </c>
      <c r="I200" t="s">
        <v>24</v>
      </c>
      <c r="J200" t="s">
        <v>16</v>
      </c>
    </row>
    <row r="201" spans="1:10" x14ac:dyDescent="0.3">
      <c r="A201" t="s">
        <v>222</v>
      </c>
      <c r="B201" t="s">
        <v>41</v>
      </c>
      <c r="C201">
        <v>2.5</v>
      </c>
      <c r="D201">
        <v>370</v>
      </c>
      <c r="E201">
        <v>25</v>
      </c>
      <c r="F201">
        <v>2545</v>
      </c>
      <c r="G201">
        <v>7.6</v>
      </c>
      <c r="H201">
        <v>8</v>
      </c>
      <c r="I201" t="s">
        <v>19</v>
      </c>
      <c r="J201" t="s">
        <v>16</v>
      </c>
    </row>
    <row r="202" spans="1:10" x14ac:dyDescent="0.3">
      <c r="A202" t="s">
        <v>223</v>
      </c>
      <c r="B202" t="s">
        <v>27</v>
      </c>
      <c r="C202">
        <v>3.4</v>
      </c>
      <c r="D202">
        <v>294</v>
      </c>
      <c r="E202">
        <v>97</v>
      </c>
      <c r="F202">
        <v>4235</v>
      </c>
      <c r="G202">
        <v>6.4</v>
      </c>
      <c r="H202">
        <v>8</v>
      </c>
      <c r="I202" t="s">
        <v>24</v>
      </c>
      <c r="J202" t="s">
        <v>22</v>
      </c>
    </row>
    <row r="203" spans="1:10" x14ac:dyDescent="0.3">
      <c r="A203" t="s">
        <v>224</v>
      </c>
      <c r="B203" t="s">
        <v>27</v>
      </c>
      <c r="C203">
        <v>2.5</v>
      </c>
      <c r="D203">
        <v>193</v>
      </c>
      <c r="E203">
        <v>117</v>
      </c>
      <c r="F203">
        <v>4178</v>
      </c>
      <c r="G203">
        <v>9.6999999999999993</v>
      </c>
      <c r="H203">
        <v>4</v>
      </c>
      <c r="I203" t="s">
        <v>19</v>
      </c>
      <c r="J203" t="s">
        <v>13</v>
      </c>
    </row>
    <row r="204" spans="1:10" x14ac:dyDescent="0.3">
      <c r="A204" t="s">
        <v>225</v>
      </c>
      <c r="B204" t="s">
        <v>11</v>
      </c>
      <c r="C204">
        <v>3.8</v>
      </c>
      <c r="D204">
        <v>228</v>
      </c>
      <c r="E204">
        <v>60</v>
      </c>
      <c r="F204">
        <v>3620</v>
      </c>
      <c r="G204">
        <v>6.7</v>
      </c>
      <c r="H204">
        <v>8</v>
      </c>
      <c r="I204" t="s">
        <v>24</v>
      </c>
      <c r="J204" t="s">
        <v>22</v>
      </c>
    </row>
    <row r="205" spans="1:10" x14ac:dyDescent="0.3">
      <c r="A205" t="s">
        <v>226</v>
      </c>
      <c r="B205" t="s">
        <v>18</v>
      </c>
      <c r="C205">
        <v>4.5</v>
      </c>
      <c r="D205">
        <v>450</v>
      </c>
      <c r="E205">
        <v>106</v>
      </c>
      <c r="F205">
        <v>3983</v>
      </c>
      <c r="G205">
        <v>6</v>
      </c>
      <c r="H205">
        <v>6</v>
      </c>
      <c r="I205" t="s">
        <v>12</v>
      </c>
      <c r="J205" t="s">
        <v>13</v>
      </c>
    </row>
    <row r="206" spans="1:10" x14ac:dyDescent="0.3">
      <c r="A206" t="s">
        <v>227</v>
      </c>
      <c r="B206" t="s">
        <v>27</v>
      </c>
      <c r="C206">
        <v>4.7</v>
      </c>
      <c r="D206">
        <v>145</v>
      </c>
      <c r="E206">
        <v>107</v>
      </c>
      <c r="F206">
        <v>2502</v>
      </c>
      <c r="G206">
        <v>8.8000000000000007</v>
      </c>
      <c r="H206">
        <v>6</v>
      </c>
      <c r="I206" t="s">
        <v>24</v>
      </c>
      <c r="J206" t="s">
        <v>16</v>
      </c>
    </row>
    <row r="207" spans="1:10" x14ac:dyDescent="0.3">
      <c r="A207" t="s">
        <v>228</v>
      </c>
      <c r="B207" t="s">
        <v>41</v>
      </c>
      <c r="C207">
        <v>4.0999999999999996</v>
      </c>
      <c r="D207">
        <v>491</v>
      </c>
      <c r="E207">
        <v>34</v>
      </c>
      <c r="F207">
        <v>2752</v>
      </c>
      <c r="G207">
        <v>5.3</v>
      </c>
      <c r="H207">
        <v>8</v>
      </c>
      <c r="I207" t="s">
        <v>12</v>
      </c>
      <c r="J207" t="s">
        <v>16</v>
      </c>
    </row>
    <row r="208" spans="1:10" x14ac:dyDescent="0.3">
      <c r="A208" t="s">
        <v>229</v>
      </c>
      <c r="B208" t="s">
        <v>18</v>
      </c>
      <c r="C208">
        <v>1.3</v>
      </c>
      <c r="D208">
        <v>488</v>
      </c>
      <c r="E208">
        <v>28</v>
      </c>
      <c r="F208">
        <v>3749</v>
      </c>
      <c r="G208">
        <v>6.2</v>
      </c>
      <c r="H208">
        <v>4</v>
      </c>
      <c r="I208" t="s">
        <v>12</v>
      </c>
      <c r="J208" t="s">
        <v>13</v>
      </c>
    </row>
    <row r="209" spans="1:10" x14ac:dyDescent="0.3">
      <c r="A209" t="s">
        <v>230</v>
      </c>
      <c r="B209" t="s">
        <v>41</v>
      </c>
      <c r="C209">
        <v>3</v>
      </c>
      <c r="D209">
        <v>372</v>
      </c>
      <c r="E209">
        <v>78</v>
      </c>
      <c r="F209">
        <v>4074</v>
      </c>
      <c r="G209">
        <v>9.1999999999999993</v>
      </c>
      <c r="H209">
        <v>6</v>
      </c>
      <c r="I209" t="s">
        <v>12</v>
      </c>
      <c r="J209" t="s">
        <v>16</v>
      </c>
    </row>
    <row r="210" spans="1:10" x14ac:dyDescent="0.3">
      <c r="A210" t="s">
        <v>231</v>
      </c>
      <c r="B210" t="s">
        <v>38</v>
      </c>
      <c r="C210">
        <v>4.4000000000000004</v>
      </c>
      <c r="D210">
        <v>340</v>
      </c>
      <c r="E210">
        <v>78</v>
      </c>
      <c r="F210">
        <v>3295</v>
      </c>
      <c r="G210">
        <v>9.1999999999999993</v>
      </c>
      <c r="H210">
        <v>6</v>
      </c>
      <c r="I210" t="s">
        <v>19</v>
      </c>
      <c r="J210" t="s">
        <v>22</v>
      </c>
    </row>
    <row r="211" spans="1:10" x14ac:dyDescent="0.3">
      <c r="A211" t="s">
        <v>232</v>
      </c>
      <c r="B211" t="s">
        <v>38</v>
      </c>
      <c r="C211">
        <v>3.5</v>
      </c>
      <c r="D211">
        <v>387</v>
      </c>
      <c r="E211">
        <v>48</v>
      </c>
      <c r="F211">
        <v>4427</v>
      </c>
      <c r="G211">
        <v>9.5</v>
      </c>
      <c r="H211">
        <v>4</v>
      </c>
      <c r="I211" t="s">
        <v>12</v>
      </c>
      <c r="J211" t="s">
        <v>16</v>
      </c>
    </row>
    <row r="212" spans="1:10" x14ac:dyDescent="0.3">
      <c r="A212" t="s">
        <v>233</v>
      </c>
      <c r="B212" t="s">
        <v>11</v>
      </c>
      <c r="C212">
        <v>4.7</v>
      </c>
      <c r="D212">
        <v>482</v>
      </c>
      <c r="E212">
        <v>60</v>
      </c>
      <c r="F212">
        <v>3860</v>
      </c>
      <c r="G212">
        <v>8.3000000000000007</v>
      </c>
      <c r="H212">
        <v>8</v>
      </c>
      <c r="I212" t="s">
        <v>12</v>
      </c>
      <c r="J212" t="s">
        <v>16</v>
      </c>
    </row>
    <row r="213" spans="1:10" x14ac:dyDescent="0.3">
      <c r="A213" t="s">
        <v>234</v>
      </c>
      <c r="B213" t="s">
        <v>11</v>
      </c>
      <c r="C213">
        <v>4.5999999999999996</v>
      </c>
      <c r="D213">
        <v>262</v>
      </c>
      <c r="E213">
        <v>78</v>
      </c>
      <c r="F213">
        <v>3008</v>
      </c>
      <c r="G213">
        <v>7.4</v>
      </c>
      <c r="H213">
        <v>6</v>
      </c>
      <c r="I213" t="s">
        <v>12</v>
      </c>
      <c r="J213" t="s">
        <v>16</v>
      </c>
    </row>
    <row r="214" spans="1:10" x14ac:dyDescent="0.3">
      <c r="A214" t="s">
        <v>235</v>
      </c>
      <c r="B214" t="s">
        <v>11</v>
      </c>
      <c r="C214">
        <v>1.9</v>
      </c>
      <c r="D214">
        <v>263</v>
      </c>
      <c r="E214">
        <v>93</v>
      </c>
      <c r="F214">
        <v>3469</v>
      </c>
      <c r="G214">
        <v>6.5</v>
      </c>
      <c r="H214">
        <v>6</v>
      </c>
      <c r="I214" t="s">
        <v>24</v>
      </c>
      <c r="J214" t="s">
        <v>16</v>
      </c>
    </row>
    <row r="215" spans="1:10" x14ac:dyDescent="0.3">
      <c r="A215" t="s">
        <v>236</v>
      </c>
      <c r="B215" t="s">
        <v>38</v>
      </c>
      <c r="C215">
        <v>3.5</v>
      </c>
      <c r="D215">
        <v>369</v>
      </c>
      <c r="E215">
        <v>52</v>
      </c>
      <c r="F215">
        <v>2728</v>
      </c>
      <c r="G215">
        <v>8.3000000000000007</v>
      </c>
      <c r="H215">
        <v>6</v>
      </c>
      <c r="I215" t="s">
        <v>24</v>
      </c>
      <c r="J215" t="s">
        <v>22</v>
      </c>
    </row>
    <row r="216" spans="1:10" x14ac:dyDescent="0.3">
      <c r="A216" t="s">
        <v>237</v>
      </c>
      <c r="B216" t="s">
        <v>27</v>
      </c>
      <c r="C216">
        <v>1.4</v>
      </c>
      <c r="D216">
        <v>272</v>
      </c>
      <c r="E216">
        <v>75</v>
      </c>
      <c r="F216">
        <v>3220</v>
      </c>
      <c r="G216">
        <v>10</v>
      </c>
      <c r="H216">
        <v>4</v>
      </c>
      <c r="I216" t="s">
        <v>19</v>
      </c>
      <c r="J216" t="s">
        <v>16</v>
      </c>
    </row>
    <row r="217" spans="1:10" x14ac:dyDescent="0.3">
      <c r="A217" t="s">
        <v>238</v>
      </c>
      <c r="B217" t="s">
        <v>15</v>
      </c>
      <c r="C217">
        <v>3</v>
      </c>
      <c r="D217">
        <v>450</v>
      </c>
      <c r="E217">
        <v>63</v>
      </c>
      <c r="F217">
        <v>3056</v>
      </c>
      <c r="G217">
        <v>8.8000000000000007</v>
      </c>
      <c r="H217">
        <v>4</v>
      </c>
      <c r="I217" t="s">
        <v>19</v>
      </c>
      <c r="J217" t="s">
        <v>16</v>
      </c>
    </row>
    <row r="218" spans="1:10" x14ac:dyDescent="0.3">
      <c r="A218" t="s">
        <v>239</v>
      </c>
      <c r="B218" t="s">
        <v>30</v>
      </c>
      <c r="C218">
        <v>3.9</v>
      </c>
      <c r="D218">
        <v>489</v>
      </c>
      <c r="E218">
        <v>83</v>
      </c>
      <c r="F218">
        <v>2508</v>
      </c>
      <c r="G218">
        <v>3.6</v>
      </c>
      <c r="H218">
        <v>6</v>
      </c>
      <c r="I218" t="s">
        <v>12</v>
      </c>
      <c r="J218" t="s">
        <v>13</v>
      </c>
    </row>
    <row r="219" spans="1:10" x14ac:dyDescent="0.3">
      <c r="A219" t="s">
        <v>240</v>
      </c>
      <c r="B219" t="s">
        <v>38</v>
      </c>
      <c r="C219">
        <v>4.2</v>
      </c>
      <c r="D219">
        <v>199</v>
      </c>
      <c r="E219">
        <v>96</v>
      </c>
      <c r="F219">
        <v>4342</v>
      </c>
      <c r="G219">
        <v>9.4</v>
      </c>
      <c r="H219">
        <v>4</v>
      </c>
      <c r="I219" t="s">
        <v>19</v>
      </c>
      <c r="J219" t="s">
        <v>13</v>
      </c>
    </row>
    <row r="220" spans="1:10" x14ac:dyDescent="0.3">
      <c r="A220" t="s">
        <v>241</v>
      </c>
      <c r="B220" t="s">
        <v>27</v>
      </c>
      <c r="C220">
        <v>1.7</v>
      </c>
      <c r="D220">
        <v>341</v>
      </c>
      <c r="E220">
        <v>49</v>
      </c>
      <c r="F220">
        <v>3072</v>
      </c>
      <c r="G220">
        <v>3.1</v>
      </c>
      <c r="H220">
        <v>8</v>
      </c>
      <c r="I220" t="s">
        <v>19</v>
      </c>
      <c r="J220" t="s">
        <v>22</v>
      </c>
    </row>
    <row r="221" spans="1:10" x14ac:dyDescent="0.3">
      <c r="A221" t="s">
        <v>242</v>
      </c>
      <c r="B221" t="s">
        <v>38</v>
      </c>
      <c r="C221">
        <v>4</v>
      </c>
      <c r="D221">
        <v>211</v>
      </c>
      <c r="E221">
        <v>49</v>
      </c>
      <c r="F221">
        <v>2645</v>
      </c>
      <c r="G221">
        <v>8</v>
      </c>
      <c r="H221">
        <v>4</v>
      </c>
      <c r="I221" t="s">
        <v>24</v>
      </c>
      <c r="J221" t="s">
        <v>16</v>
      </c>
    </row>
    <row r="222" spans="1:10" x14ac:dyDescent="0.3">
      <c r="A222" t="s">
        <v>243</v>
      </c>
      <c r="B222" t="s">
        <v>38</v>
      </c>
      <c r="C222">
        <v>2.2000000000000002</v>
      </c>
      <c r="D222">
        <v>428</v>
      </c>
      <c r="E222">
        <v>75</v>
      </c>
      <c r="F222">
        <v>3699</v>
      </c>
      <c r="G222">
        <v>4.0999999999999996</v>
      </c>
      <c r="H222">
        <v>6</v>
      </c>
      <c r="I222" t="s">
        <v>24</v>
      </c>
      <c r="J222" t="s">
        <v>22</v>
      </c>
    </row>
    <row r="223" spans="1:10" x14ac:dyDescent="0.3">
      <c r="A223" t="s">
        <v>244</v>
      </c>
      <c r="B223" t="s">
        <v>11</v>
      </c>
      <c r="C223">
        <v>4.4000000000000004</v>
      </c>
      <c r="D223">
        <v>465</v>
      </c>
      <c r="E223">
        <v>88</v>
      </c>
      <c r="F223">
        <v>3576</v>
      </c>
      <c r="G223">
        <v>9.5</v>
      </c>
      <c r="H223">
        <v>4</v>
      </c>
      <c r="I223" t="s">
        <v>19</v>
      </c>
      <c r="J223" t="s">
        <v>13</v>
      </c>
    </row>
    <row r="224" spans="1:10" x14ac:dyDescent="0.3">
      <c r="A224" t="s">
        <v>245</v>
      </c>
      <c r="B224" t="s">
        <v>30</v>
      </c>
      <c r="C224">
        <v>3.4</v>
      </c>
      <c r="D224">
        <v>102</v>
      </c>
      <c r="E224">
        <v>91</v>
      </c>
      <c r="F224">
        <v>3593</v>
      </c>
      <c r="G224">
        <v>5</v>
      </c>
      <c r="H224">
        <v>8</v>
      </c>
      <c r="I224" t="s">
        <v>24</v>
      </c>
      <c r="J224" t="s">
        <v>13</v>
      </c>
    </row>
    <row r="225" spans="1:10" x14ac:dyDescent="0.3">
      <c r="A225" t="s">
        <v>246</v>
      </c>
      <c r="B225" t="s">
        <v>27</v>
      </c>
      <c r="C225">
        <v>4.9000000000000004</v>
      </c>
      <c r="D225">
        <v>166</v>
      </c>
      <c r="E225">
        <v>21</v>
      </c>
      <c r="F225">
        <v>4493</v>
      </c>
      <c r="G225">
        <v>3.6</v>
      </c>
      <c r="H225">
        <v>8</v>
      </c>
      <c r="I225" t="s">
        <v>24</v>
      </c>
      <c r="J225" t="s">
        <v>13</v>
      </c>
    </row>
    <row r="226" spans="1:10" x14ac:dyDescent="0.3">
      <c r="A226" t="s">
        <v>247</v>
      </c>
      <c r="B226" t="s">
        <v>30</v>
      </c>
      <c r="C226">
        <v>4.7</v>
      </c>
      <c r="D226">
        <v>347</v>
      </c>
      <c r="E226">
        <v>33</v>
      </c>
      <c r="F226">
        <v>2992</v>
      </c>
      <c r="G226">
        <v>8.1</v>
      </c>
      <c r="H226">
        <v>4</v>
      </c>
      <c r="I226" t="s">
        <v>24</v>
      </c>
      <c r="J226" t="s">
        <v>22</v>
      </c>
    </row>
    <row r="227" spans="1:10" x14ac:dyDescent="0.3">
      <c r="A227" t="s">
        <v>248</v>
      </c>
      <c r="B227" t="s">
        <v>41</v>
      </c>
      <c r="C227">
        <v>1.7</v>
      </c>
      <c r="D227">
        <v>234</v>
      </c>
      <c r="E227">
        <v>100</v>
      </c>
      <c r="F227">
        <v>4136</v>
      </c>
      <c r="G227">
        <v>9.1</v>
      </c>
      <c r="H227">
        <v>4</v>
      </c>
      <c r="I227" t="s">
        <v>19</v>
      </c>
      <c r="J227" t="s">
        <v>22</v>
      </c>
    </row>
    <row r="228" spans="1:10" x14ac:dyDescent="0.3">
      <c r="A228" t="s">
        <v>249</v>
      </c>
      <c r="B228" t="s">
        <v>30</v>
      </c>
      <c r="C228">
        <v>3.3</v>
      </c>
      <c r="D228">
        <v>204</v>
      </c>
      <c r="E228">
        <v>78</v>
      </c>
      <c r="F228">
        <v>3163</v>
      </c>
      <c r="G228">
        <v>7.3</v>
      </c>
      <c r="H228">
        <v>8</v>
      </c>
      <c r="I228" t="s">
        <v>19</v>
      </c>
      <c r="J228" t="s">
        <v>13</v>
      </c>
    </row>
    <row r="229" spans="1:10" x14ac:dyDescent="0.3">
      <c r="A229" t="s">
        <v>250</v>
      </c>
      <c r="B229" t="s">
        <v>11</v>
      </c>
      <c r="C229">
        <v>2.6</v>
      </c>
      <c r="D229">
        <v>137</v>
      </c>
      <c r="E229">
        <v>107</v>
      </c>
      <c r="F229">
        <v>2587</v>
      </c>
      <c r="G229">
        <v>8.6</v>
      </c>
      <c r="H229">
        <v>6</v>
      </c>
      <c r="I229" t="s">
        <v>24</v>
      </c>
      <c r="J229" t="s">
        <v>22</v>
      </c>
    </row>
    <row r="230" spans="1:10" x14ac:dyDescent="0.3">
      <c r="A230" t="s">
        <v>251</v>
      </c>
      <c r="B230" t="s">
        <v>11</v>
      </c>
      <c r="C230">
        <v>2.1</v>
      </c>
      <c r="D230">
        <v>268</v>
      </c>
      <c r="E230">
        <v>57</v>
      </c>
      <c r="F230">
        <v>2807</v>
      </c>
      <c r="G230">
        <v>4.9000000000000004</v>
      </c>
      <c r="H230">
        <v>4</v>
      </c>
      <c r="I230" t="s">
        <v>12</v>
      </c>
      <c r="J230" t="s">
        <v>13</v>
      </c>
    </row>
    <row r="231" spans="1:10" x14ac:dyDescent="0.3">
      <c r="A231" t="s">
        <v>252</v>
      </c>
      <c r="B231" t="s">
        <v>30</v>
      </c>
      <c r="C231">
        <v>2.7</v>
      </c>
      <c r="D231">
        <v>320</v>
      </c>
      <c r="E231">
        <v>24</v>
      </c>
      <c r="F231">
        <v>3590</v>
      </c>
      <c r="G231">
        <v>6.1</v>
      </c>
      <c r="H231">
        <v>8</v>
      </c>
      <c r="I231" t="s">
        <v>12</v>
      </c>
      <c r="J231" t="s">
        <v>22</v>
      </c>
    </row>
    <row r="232" spans="1:10" x14ac:dyDescent="0.3">
      <c r="A232" t="s">
        <v>253</v>
      </c>
      <c r="B232" t="s">
        <v>11</v>
      </c>
      <c r="C232">
        <v>3</v>
      </c>
      <c r="D232">
        <v>123</v>
      </c>
      <c r="E232">
        <v>119</v>
      </c>
      <c r="F232">
        <v>3726</v>
      </c>
      <c r="G232">
        <v>8.3000000000000007</v>
      </c>
      <c r="H232">
        <v>8</v>
      </c>
      <c r="I232" t="s">
        <v>24</v>
      </c>
      <c r="J232" t="s">
        <v>16</v>
      </c>
    </row>
    <row r="233" spans="1:10" x14ac:dyDescent="0.3">
      <c r="A233" t="s">
        <v>254</v>
      </c>
      <c r="B233" t="s">
        <v>18</v>
      </c>
      <c r="C233">
        <v>3.7</v>
      </c>
      <c r="D233">
        <v>394</v>
      </c>
      <c r="E233">
        <v>30</v>
      </c>
      <c r="F233">
        <v>3880</v>
      </c>
      <c r="G233">
        <v>6.8</v>
      </c>
      <c r="H233">
        <v>8</v>
      </c>
      <c r="I233" t="s">
        <v>19</v>
      </c>
      <c r="J233" t="s">
        <v>16</v>
      </c>
    </row>
    <row r="234" spans="1:10" x14ac:dyDescent="0.3">
      <c r="A234" t="s">
        <v>255</v>
      </c>
      <c r="B234" t="s">
        <v>30</v>
      </c>
      <c r="C234">
        <v>3.2</v>
      </c>
      <c r="D234">
        <v>117</v>
      </c>
      <c r="E234">
        <v>25</v>
      </c>
      <c r="F234">
        <v>2581</v>
      </c>
      <c r="G234">
        <v>3.5</v>
      </c>
      <c r="H234">
        <v>8</v>
      </c>
      <c r="I234" t="s">
        <v>19</v>
      </c>
      <c r="J234" t="s">
        <v>22</v>
      </c>
    </row>
    <row r="235" spans="1:10" x14ac:dyDescent="0.3">
      <c r="A235" t="s">
        <v>256</v>
      </c>
      <c r="B235" t="s">
        <v>11</v>
      </c>
      <c r="C235">
        <v>3.2</v>
      </c>
      <c r="D235">
        <v>300</v>
      </c>
      <c r="E235">
        <v>49</v>
      </c>
      <c r="F235">
        <v>3967</v>
      </c>
      <c r="G235">
        <v>8.6</v>
      </c>
      <c r="H235">
        <v>8</v>
      </c>
      <c r="I235" t="s">
        <v>19</v>
      </c>
      <c r="J235" t="s">
        <v>13</v>
      </c>
    </row>
    <row r="236" spans="1:10" x14ac:dyDescent="0.3">
      <c r="A236" t="s">
        <v>257</v>
      </c>
      <c r="B236" t="s">
        <v>15</v>
      </c>
      <c r="C236">
        <v>3.9</v>
      </c>
      <c r="D236">
        <v>281</v>
      </c>
      <c r="E236">
        <v>54</v>
      </c>
      <c r="F236">
        <v>2800</v>
      </c>
      <c r="G236">
        <v>9.3000000000000007</v>
      </c>
      <c r="H236">
        <v>6</v>
      </c>
      <c r="I236" t="s">
        <v>19</v>
      </c>
      <c r="J236" t="s">
        <v>13</v>
      </c>
    </row>
    <row r="237" spans="1:10" x14ac:dyDescent="0.3">
      <c r="A237" t="s">
        <v>258</v>
      </c>
      <c r="B237" t="s">
        <v>30</v>
      </c>
      <c r="C237">
        <v>1.6</v>
      </c>
      <c r="D237">
        <v>103</v>
      </c>
      <c r="E237">
        <v>22</v>
      </c>
      <c r="F237">
        <v>3616</v>
      </c>
      <c r="G237">
        <v>9.4</v>
      </c>
      <c r="H237">
        <v>8</v>
      </c>
      <c r="I237" t="s">
        <v>24</v>
      </c>
      <c r="J237" t="s">
        <v>13</v>
      </c>
    </row>
    <row r="238" spans="1:10" x14ac:dyDescent="0.3">
      <c r="A238" t="s">
        <v>259</v>
      </c>
      <c r="B238" t="s">
        <v>27</v>
      </c>
      <c r="C238">
        <v>3.2</v>
      </c>
      <c r="D238">
        <v>220</v>
      </c>
      <c r="E238">
        <v>54</v>
      </c>
      <c r="F238">
        <v>3476</v>
      </c>
      <c r="G238">
        <v>3</v>
      </c>
      <c r="H238">
        <v>6</v>
      </c>
      <c r="I238" t="s">
        <v>12</v>
      </c>
      <c r="J238" t="s">
        <v>22</v>
      </c>
    </row>
    <row r="239" spans="1:10" x14ac:dyDescent="0.3">
      <c r="A239" t="s">
        <v>260</v>
      </c>
      <c r="B239" t="s">
        <v>27</v>
      </c>
      <c r="C239">
        <v>3.9</v>
      </c>
      <c r="D239">
        <v>423</v>
      </c>
      <c r="E239">
        <v>34</v>
      </c>
      <c r="F239">
        <v>4400</v>
      </c>
      <c r="G239">
        <v>5.3</v>
      </c>
      <c r="H239">
        <v>6</v>
      </c>
      <c r="I239" t="s">
        <v>19</v>
      </c>
      <c r="J239" t="s">
        <v>13</v>
      </c>
    </row>
    <row r="240" spans="1:10" x14ac:dyDescent="0.3">
      <c r="A240" t="s">
        <v>261</v>
      </c>
      <c r="B240" t="s">
        <v>18</v>
      </c>
      <c r="C240">
        <v>1.1000000000000001</v>
      </c>
      <c r="D240">
        <v>210</v>
      </c>
      <c r="E240">
        <v>22</v>
      </c>
      <c r="F240">
        <v>2543</v>
      </c>
      <c r="G240">
        <v>6.5</v>
      </c>
      <c r="H240">
        <v>4</v>
      </c>
      <c r="I240" t="s">
        <v>19</v>
      </c>
      <c r="J240" t="s">
        <v>13</v>
      </c>
    </row>
    <row r="241" spans="1:10" x14ac:dyDescent="0.3">
      <c r="A241" t="s">
        <v>262</v>
      </c>
      <c r="B241" t="s">
        <v>30</v>
      </c>
      <c r="C241">
        <v>5</v>
      </c>
      <c r="D241">
        <v>334</v>
      </c>
      <c r="E241">
        <v>95</v>
      </c>
      <c r="F241">
        <v>3272</v>
      </c>
      <c r="G241">
        <v>5.9</v>
      </c>
      <c r="H241">
        <v>8</v>
      </c>
      <c r="I241" t="s">
        <v>12</v>
      </c>
      <c r="J241" t="s">
        <v>16</v>
      </c>
    </row>
    <row r="242" spans="1:10" x14ac:dyDescent="0.3">
      <c r="A242" t="s">
        <v>263</v>
      </c>
      <c r="B242" t="s">
        <v>30</v>
      </c>
      <c r="C242">
        <v>1.2</v>
      </c>
      <c r="D242">
        <v>484</v>
      </c>
      <c r="E242">
        <v>16</v>
      </c>
      <c r="F242">
        <v>3888</v>
      </c>
      <c r="G242">
        <v>8.6</v>
      </c>
      <c r="H242">
        <v>8</v>
      </c>
      <c r="I242" t="s">
        <v>19</v>
      </c>
      <c r="J242" t="s">
        <v>22</v>
      </c>
    </row>
    <row r="243" spans="1:10" x14ac:dyDescent="0.3">
      <c r="A243" t="s">
        <v>264</v>
      </c>
      <c r="B243" t="s">
        <v>15</v>
      </c>
      <c r="C243">
        <v>2.2000000000000002</v>
      </c>
      <c r="D243">
        <v>325</v>
      </c>
      <c r="E243">
        <v>90</v>
      </c>
      <c r="F243">
        <v>4151</v>
      </c>
      <c r="G243">
        <v>3.1</v>
      </c>
      <c r="H243">
        <v>8</v>
      </c>
      <c r="I243" t="s">
        <v>19</v>
      </c>
      <c r="J243" t="s">
        <v>16</v>
      </c>
    </row>
    <row r="244" spans="1:10" x14ac:dyDescent="0.3">
      <c r="A244" t="s">
        <v>265</v>
      </c>
      <c r="B244" t="s">
        <v>38</v>
      </c>
      <c r="C244">
        <v>4.2</v>
      </c>
      <c r="D244">
        <v>317</v>
      </c>
      <c r="E244">
        <v>25</v>
      </c>
      <c r="F244">
        <v>4262</v>
      </c>
      <c r="G244">
        <v>7.1</v>
      </c>
      <c r="H244">
        <v>6</v>
      </c>
      <c r="I244" t="s">
        <v>24</v>
      </c>
      <c r="J244" t="s">
        <v>16</v>
      </c>
    </row>
    <row r="245" spans="1:10" x14ac:dyDescent="0.3">
      <c r="A245" t="s">
        <v>266</v>
      </c>
      <c r="B245" t="s">
        <v>11</v>
      </c>
      <c r="C245">
        <v>3.8</v>
      </c>
      <c r="D245">
        <v>235</v>
      </c>
      <c r="E245">
        <v>45</v>
      </c>
      <c r="F245">
        <v>4464</v>
      </c>
      <c r="G245">
        <v>8</v>
      </c>
      <c r="H245">
        <v>6</v>
      </c>
      <c r="I245" t="s">
        <v>19</v>
      </c>
      <c r="J245" t="s">
        <v>22</v>
      </c>
    </row>
    <row r="246" spans="1:10" x14ac:dyDescent="0.3">
      <c r="A246" t="s">
        <v>267</v>
      </c>
      <c r="B246" t="s">
        <v>41</v>
      </c>
      <c r="C246">
        <v>1.6</v>
      </c>
      <c r="D246">
        <v>125</v>
      </c>
      <c r="E246">
        <v>39</v>
      </c>
      <c r="F246">
        <v>4187</v>
      </c>
      <c r="G246">
        <v>8</v>
      </c>
      <c r="H246">
        <v>6</v>
      </c>
      <c r="I246" t="s">
        <v>24</v>
      </c>
      <c r="J246" t="s">
        <v>13</v>
      </c>
    </row>
    <row r="247" spans="1:10" x14ac:dyDescent="0.3">
      <c r="A247" t="s">
        <v>268</v>
      </c>
      <c r="B247" t="s">
        <v>41</v>
      </c>
      <c r="C247">
        <v>3.7</v>
      </c>
      <c r="D247">
        <v>271</v>
      </c>
      <c r="E247">
        <v>59</v>
      </c>
      <c r="F247">
        <v>2535</v>
      </c>
      <c r="G247">
        <v>3.2</v>
      </c>
      <c r="H247">
        <v>6</v>
      </c>
      <c r="I247" t="s">
        <v>19</v>
      </c>
      <c r="J247" t="s">
        <v>22</v>
      </c>
    </row>
    <row r="248" spans="1:10" x14ac:dyDescent="0.3">
      <c r="A248" t="s">
        <v>269</v>
      </c>
      <c r="B248" t="s">
        <v>15</v>
      </c>
      <c r="C248">
        <v>2</v>
      </c>
      <c r="D248">
        <v>347</v>
      </c>
      <c r="E248">
        <v>82</v>
      </c>
      <c r="F248">
        <v>4394</v>
      </c>
      <c r="G248">
        <v>3</v>
      </c>
      <c r="H248">
        <v>6</v>
      </c>
      <c r="I248" t="s">
        <v>12</v>
      </c>
      <c r="J248" t="s">
        <v>22</v>
      </c>
    </row>
    <row r="249" spans="1:10" x14ac:dyDescent="0.3">
      <c r="A249" t="s">
        <v>270</v>
      </c>
      <c r="B249" t="s">
        <v>30</v>
      </c>
      <c r="C249">
        <v>4</v>
      </c>
      <c r="D249">
        <v>311</v>
      </c>
      <c r="E249">
        <v>81</v>
      </c>
      <c r="F249">
        <v>3484</v>
      </c>
      <c r="G249">
        <v>3.9</v>
      </c>
      <c r="H249">
        <v>8</v>
      </c>
      <c r="I249" t="s">
        <v>24</v>
      </c>
      <c r="J249" t="s">
        <v>22</v>
      </c>
    </row>
    <row r="250" spans="1:10" x14ac:dyDescent="0.3">
      <c r="A250" t="s">
        <v>271</v>
      </c>
      <c r="B250" t="s">
        <v>38</v>
      </c>
      <c r="C250">
        <v>3.5</v>
      </c>
      <c r="D250">
        <v>393</v>
      </c>
      <c r="E250">
        <v>115</v>
      </c>
      <c r="F250">
        <v>2689</v>
      </c>
      <c r="G250">
        <v>8.5</v>
      </c>
      <c r="H250">
        <v>6</v>
      </c>
      <c r="I250" t="s">
        <v>24</v>
      </c>
      <c r="J250" t="s">
        <v>22</v>
      </c>
    </row>
    <row r="251" spans="1:10" x14ac:dyDescent="0.3">
      <c r="A251" t="s">
        <v>272</v>
      </c>
      <c r="B251" t="s">
        <v>27</v>
      </c>
      <c r="C251">
        <v>1.7</v>
      </c>
      <c r="D251">
        <v>212</v>
      </c>
      <c r="E251">
        <v>95</v>
      </c>
      <c r="F251">
        <v>3194</v>
      </c>
      <c r="G251">
        <v>5.9</v>
      </c>
      <c r="H251">
        <v>8</v>
      </c>
      <c r="I251" t="s">
        <v>19</v>
      </c>
      <c r="J251" t="s">
        <v>13</v>
      </c>
    </row>
    <row r="252" spans="1:10" x14ac:dyDescent="0.3">
      <c r="A252" t="s">
        <v>273</v>
      </c>
      <c r="B252" t="s">
        <v>18</v>
      </c>
      <c r="C252">
        <v>1.7</v>
      </c>
      <c r="D252">
        <v>122</v>
      </c>
      <c r="E252">
        <v>91</v>
      </c>
      <c r="F252">
        <v>3679</v>
      </c>
      <c r="G252">
        <v>9.1999999999999993</v>
      </c>
      <c r="H252">
        <v>4</v>
      </c>
      <c r="I252" t="s">
        <v>19</v>
      </c>
      <c r="J252" t="s">
        <v>16</v>
      </c>
    </row>
    <row r="253" spans="1:10" x14ac:dyDescent="0.3">
      <c r="A253" t="s">
        <v>274</v>
      </c>
      <c r="B253" t="s">
        <v>11</v>
      </c>
      <c r="C253">
        <v>1.9</v>
      </c>
      <c r="D253">
        <v>237</v>
      </c>
      <c r="E253">
        <v>19</v>
      </c>
      <c r="F253">
        <v>3031</v>
      </c>
      <c r="G253">
        <v>4.8</v>
      </c>
      <c r="H253">
        <v>8</v>
      </c>
      <c r="I253" t="s">
        <v>19</v>
      </c>
      <c r="J253" t="s">
        <v>16</v>
      </c>
    </row>
    <row r="254" spans="1:10" x14ac:dyDescent="0.3">
      <c r="A254" t="s">
        <v>275</v>
      </c>
      <c r="B254" t="s">
        <v>38</v>
      </c>
      <c r="C254">
        <v>2</v>
      </c>
      <c r="D254">
        <v>281</v>
      </c>
      <c r="E254">
        <v>31</v>
      </c>
      <c r="F254">
        <v>3167</v>
      </c>
      <c r="G254">
        <v>6.8</v>
      </c>
      <c r="H254">
        <v>8</v>
      </c>
      <c r="I254" t="s">
        <v>24</v>
      </c>
      <c r="J254" t="s">
        <v>13</v>
      </c>
    </row>
    <row r="255" spans="1:10" x14ac:dyDescent="0.3">
      <c r="A255" t="s">
        <v>276</v>
      </c>
      <c r="B255" t="s">
        <v>18</v>
      </c>
      <c r="C255">
        <v>2.8</v>
      </c>
      <c r="D255">
        <v>462</v>
      </c>
      <c r="E255">
        <v>99</v>
      </c>
      <c r="F255">
        <v>3675</v>
      </c>
      <c r="G255">
        <v>8.1</v>
      </c>
      <c r="H255">
        <v>8</v>
      </c>
      <c r="I255" t="s">
        <v>24</v>
      </c>
      <c r="J255" t="s">
        <v>22</v>
      </c>
    </row>
    <row r="256" spans="1:10" x14ac:dyDescent="0.3">
      <c r="A256" t="s">
        <v>277</v>
      </c>
      <c r="B256" t="s">
        <v>18</v>
      </c>
      <c r="C256">
        <v>4.2</v>
      </c>
      <c r="D256">
        <v>487</v>
      </c>
      <c r="E256">
        <v>20</v>
      </c>
      <c r="F256">
        <v>2992</v>
      </c>
      <c r="G256">
        <v>4.4000000000000004</v>
      </c>
      <c r="H256">
        <v>6</v>
      </c>
      <c r="I256" t="s">
        <v>24</v>
      </c>
      <c r="J256" t="s">
        <v>16</v>
      </c>
    </row>
    <row r="257" spans="1:10" x14ac:dyDescent="0.3">
      <c r="A257" t="s">
        <v>278</v>
      </c>
      <c r="B257" t="s">
        <v>38</v>
      </c>
      <c r="C257">
        <v>4</v>
      </c>
      <c r="D257">
        <v>176</v>
      </c>
      <c r="E257">
        <v>97</v>
      </c>
      <c r="F257">
        <v>4218</v>
      </c>
      <c r="G257">
        <v>8.6999999999999993</v>
      </c>
      <c r="H257">
        <v>8</v>
      </c>
      <c r="I257" t="s">
        <v>19</v>
      </c>
      <c r="J257" t="s">
        <v>13</v>
      </c>
    </row>
    <row r="258" spans="1:10" x14ac:dyDescent="0.3">
      <c r="A258" t="s">
        <v>279</v>
      </c>
      <c r="B258" t="s">
        <v>38</v>
      </c>
      <c r="C258">
        <v>1.7</v>
      </c>
      <c r="D258">
        <v>416</v>
      </c>
      <c r="E258">
        <v>55</v>
      </c>
      <c r="F258">
        <v>3049</v>
      </c>
      <c r="G258">
        <v>8.4</v>
      </c>
      <c r="H258">
        <v>4</v>
      </c>
      <c r="I258" t="s">
        <v>24</v>
      </c>
      <c r="J258" t="s">
        <v>16</v>
      </c>
    </row>
    <row r="259" spans="1:10" x14ac:dyDescent="0.3">
      <c r="A259" t="s">
        <v>280</v>
      </c>
      <c r="B259" t="s">
        <v>27</v>
      </c>
      <c r="C259">
        <v>4.4000000000000004</v>
      </c>
      <c r="D259">
        <v>410</v>
      </c>
      <c r="E259">
        <v>88</v>
      </c>
      <c r="F259">
        <v>4211</v>
      </c>
      <c r="G259">
        <v>5</v>
      </c>
      <c r="H259">
        <v>4</v>
      </c>
      <c r="I259" t="s">
        <v>12</v>
      </c>
      <c r="J259" t="s">
        <v>22</v>
      </c>
    </row>
    <row r="260" spans="1:10" x14ac:dyDescent="0.3">
      <c r="A260" t="s">
        <v>281</v>
      </c>
      <c r="B260" t="s">
        <v>38</v>
      </c>
      <c r="C260">
        <v>4.0999999999999996</v>
      </c>
      <c r="D260">
        <v>412</v>
      </c>
      <c r="E260">
        <v>112</v>
      </c>
      <c r="F260">
        <v>3194</v>
      </c>
      <c r="G260">
        <v>8.5</v>
      </c>
      <c r="H260">
        <v>8</v>
      </c>
      <c r="I260" t="s">
        <v>12</v>
      </c>
      <c r="J260" t="s">
        <v>16</v>
      </c>
    </row>
    <row r="261" spans="1:10" x14ac:dyDescent="0.3">
      <c r="A261" t="s">
        <v>282</v>
      </c>
      <c r="B261" t="s">
        <v>15</v>
      </c>
      <c r="C261">
        <v>4.8</v>
      </c>
      <c r="D261">
        <v>416</v>
      </c>
      <c r="E261">
        <v>33</v>
      </c>
      <c r="F261">
        <v>3721</v>
      </c>
      <c r="G261">
        <v>5.4</v>
      </c>
      <c r="H261">
        <v>4</v>
      </c>
      <c r="I261" t="s">
        <v>24</v>
      </c>
      <c r="J261" t="s">
        <v>22</v>
      </c>
    </row>
    <row r="262" spans="1:10" x14ac:dyDescent="0.3">
      <c r="A262" t="s">
        <v>283</v>
      </c>
      <c r="B262" t="s">
        <v>15</v>
      </c>
      <c r="C262">
        <v>1.8</v>
      </c>
      <c r="D262">
        <v>428</v>
      </c>
      <c r="E262">
        <v>111</v>
      </c>
      <c r="F262">
        <v>3274</v>
      </c>
      <c r="G262">
        <v>4.7</v>
      </c>
      <c r="H262">
        <v>6</v>
      </c>
      <c r="I262" t="s">
        <v>19</v>
      </c>
      <c r="J262" t="s">
        <v>13</v>
      </c>
    </row>
    <row r="263" spans="1:10" x14ac:dyDescent="0.3">
      <c r="A263" t="s">
        <v>284</v>
      </c>
      <c r="B263" t="s">
        <v>38</v>
      </c>
      <c r="C263">
        <v>3</v>
      </c>
      <c r="D263">
        <v>453</v>
      </c>
      <c r="E263">
        <v>64</v>
      </c>
      <c r="F263">
        <v>3002</v>
      </c>
      <c r="G263">
        <v>9.5</v>
      </c>
      <c r="H263">
        <v>8</v>
      </c>
      <c r="I263" t="s">
        <v>24</v>
      </c>
      <c r="J263" t="s">
        <v>22</v>
      </c>
    </row>
    <row r="264" spans="1:10" x14ac:dyDescent="0.3">
      <c r="A264" t="s">
        <v>285</v>
      </c>
      <c r="B264" t="s">
        <v>30</v>
      </c>
      <c r="C264">
        <v>2.4</v>
      </c>
      <c r="D264">
        <v>314</v>
      </c>
      <c r="E264">
        <v>94</v>
      </c>
      <c r="F264">
        <v>3355</v>
      </c>
      <c r="G264">
        <v>5.4</v>
      </c>
      <c r="H264">
        <v>8</v>
      </c>
      <c r="I264" t="s">
        <v>19</v>
      </c>
      <c r="J264" t="s">
        <v>16</v>
      </c>
    </row>
    <row r="265" spans="1:10" x14ac:dyDescent="0.3">
      <c r="A265" t="s">
        <v>286</v>
      </c>
      <c r="B265" t="s">
        <v>38</v>
      </c>
      <c r="C265">
        <v>1.9</v>
      </c>
      <c r="D265">
        <v>260</v>
      </c>
      <c r="E265">
        <v>118</v>
      </c>
      <c r="F265">
        <v>4452</v>
      </c>
      <c r="G265">
        <v>7.9</v>
      </c>
      <c r="H265">
        <v>8</v>
      </c>
      <c r="I265" t="s">
        <v>24</v>
      </c>
      <c r="J265" t="s">
        <v>16</v>
      </c>
    </row>
    <row r="266" spans="1:10" x14ac:dyDescent="0.3">
      <c r="A266" t="s">
        <v>287</v>
      </c>
      <c r="B266" t="s">
        <v>41</v>
      </c>
      <c r="C266">
        <v>4.4000000000000004</v>
      </c>
      <c r="D266">
        <v>217</v>
      </c>
      <c r="E266">
        <v>46</v>
      </c>
      <c r="F266">
        <v>2537</v>
      </c>
      <c r="G266">
        <v>3.5</v>
      </c>
      <c r="H266">
        <v>6</v>
      </c>
      <c r="I266" t="s">
        <v>24</v>
      </c>
      <c r="J266" t="s">
        <v>22</v>
      </c>
    </row>
    <row r="267" spans="1:10" x14ac:dyDescent="0.3">
      <c r="A267" t="s">
        <v>288</v>
      </c>
      <c r="B267" t="s">
        <v>18</v>
      </c>
      <c r="C267">
        <v>1.8</v>
      </c>
      <c r="D267">
        <v>296</v>
      </c>
      <c r="E267">
        <v>118</v>
      </c>
      <c r="F267">
        <v>3466</v>
      </c>
      <c r="G267">
        <v>7</v>
      </c>
      <c r="H267">
        <v>4</v>
      </c>
      <c r="I267" t="s">
        <v>12</v>
      </c>
      <c r="J267" t="s">
        <v>13</v>
      </c>
    </row>
    <row r="268" spans="1:10" x14ac:dyDescent="0.3">
      <c r="A268" t="s">
        <v>289</v>
      </c>
      <c r="B268" t="s">
        <v>15</v>
      </c>
      <c r="C268">
        <v>2.4</v>
      </c>
      <c r="D268">
        <v>429</v>
      </c>
      <c r="E268">
        <v>67</v>
      </c>
      <c r="F268">
        <v>3315</v>
      </c>
      <c r="G268">
        <v>9</v>
      </c>
      <c r="H268">
        <v>6</v>
      </c>
      <c r="I268" t="s">
        <v>19</v>
      </c>
      <c r="J268" t="s">
        <v>16</v>
      </c>
    </row>
    <row r="269" spans="1:10" x14ac:dyDescent="0.3">
      <c r="A269" t="s">
        <v>290</v>
      </c>
      <c r="B269" t="s">
        <v>30</v>
      </c>
      <c r="C269">
        <v>4</v>
      </c>
      <c r="D269">
        <v>445</v>
      </c>
      <c r="E269">
        <v>85</v>
      </c>
      <c r="F269">
        <v>2935</v>
      </c>
      <c r="G269">
        <v>9.8000000000000007</v>
      </c>
      <c r="H269">
        <v>4</v>
      </c>
      <c r="I269" t="s">
        <v>24</v>
      </c>
      <c r="J269" t="s">
        <v>16</v>
      </c>
    </row>
    <row r="270" spans="1:10" x14ac:dyDescent="0.3">
      <c r="A270" t="s">
        <v>291</v>
      </c>
      <c r="B270" t="s">
        <v>38</v>
      </c>
      <c r="C270">
        <v>2.1</v>
      </c>
      <c r="D270">
        <v>434</v>
      </c>
      <c r="E270">
        <v>87</v>
      </c>
      <c r="F270">
        <v>3406</v>
      </c>
      <c r="G270">
        <v>9.4</v>
      </c>
      <c r="H270">
        <v>6</v>
      </c>
      <c r="I270" t="s">
        <v>19</v>
      </c>
      <c r="J270" t="s">
        <v>13</v>
      </c>
    </row>
    <row r="271" spans="1:10" x14ac:dyDescent="0.3">
      <c r="A271" t="s">
        <v>292</v>
      </c>
      <c r="B271" t="s">
        <v>15</v>
      </c>
      <c r="C271">
        <v>2.7</v>
      </c>
      <c r="D271">
        <v>457</v>
      </c>
      <c r="E271">
        <v>25</v>
      </c>
      <c r="F271">
        <v>2652</v>
      </c>
      <c r="G271">
        <v>7.2</v>
      </c>
      <c r="H271">
        <v>8</v>
      </c>
      <c r="I271" t="s">
        <v>24</v>
      </c>
      <c r="J271" t="s">
        <v>13</v>
      </c>
    </row>
    <row r="272" spans="1:10" x14ac:dyDescent="0.3">
      <c r="A272" t="s">
        <v>293</v>
      </c>
      <c r="B272" t="s">
        <v>11</v>
      </c>
      <c r="C272">
        <v>4.2</v>
      </c>
      <c r="D272">
        <v>330</v>
      </c>
      <c r="E272">
        <v>27</v>
      </c>
      <c r="F272">
        <v>4152</v>
      </c>
      <c r="G272">
        <v>5.6</v>
      </c>
      <c r="H272">
        <v>8</v>
      </c>
      <c r="I272" t="s">
        <v>12</v>
      </c>
      <c r="J272" t="s">
        <v>22</v>
      </c>
    </row>
    <row r="273" spans="1:10" x14ac:dyDescent="0.3">
      <c r="A273" t="s">
        <v>294</v>
      </c>
      <c r="B273" t="s">
        <v>11</v>
      </c>
      <c r="C273">
        <v>4.4000000000000004</v>
      </c>
      <c r="D273">
        <v>218</v>
      </c>
      <c r="E273">
        <v>30</v>
      </c>
      <c r="F273">
        <v>3067</v>
      </c>
      <c r="G273">
        <v>9.6</v>
      </c>
      <c r="H273">
        <v>6</v>
      </c>
      <c r="I273" t="s">
        <v>19</v>
      </c>
      <c r="J273" t="s">
        <v>22</v>
      </c>
    </row>
    <row r="274" spans="1:10" x14ac:dyDescent="0.3">
      <c r="A274" t="s">
        <v>295</v>
      </c>
      <c r="B274" t="s">
        <v>30</v>
      </c>
      <c r="C274">
        <v>1.7</v>
      </c>
      <c r="D274">
        <v>178</v>
      </c>
      <c r="E274">
        <v>70</v>
      </c>
      <c r="F274">
        <v>4279</v>
      </c>
      <c r="G274">
        <v>4.7</v>
      </c>
      <c r="H274">
        <v>6</v>
      </c>
      <c r="I274" t="s">
        <v>24</v>
      </c>
      <c r="J274" t="s">
        <v>13</v>
      </c>
    </row>
    <row r="275" spans="1:10" x14ac:dyDescent="0.3">
      <c r="A275" t="s">
        <v>296</v>
      </c>
      <c r="B275" t="s">
        <v>41</v>
      </c>
      <c r="C275">
        <v>4.9000000000000004</v>
      </c>
      <c r="D275">
        <v>219</v>
      </c>
      <c r="E275">
        <v>74</v>
      </c>
      <c r="F275">
        <v>3736</v>
      </c>
      <c r="G275">
        <v>8.3000000000000007</v>
      </c>
      <c r="H275">
        <v>6</v>
      </c>
      <c r="I275" t="s">
        <v>24</v>
      </c>
      <c r="J275" t="s">
        <v>22</v>
      </c>
    </row>
    <row r="276" spans="1:10" x14ac:dyDescent="0.3">
      <c r="A276" t="s">
        <v>297</v>
      </c>
      <c r="B276" t="s">
        <v>18</v>
      </c>
      <c r="C276">
        <v>1.9</v>
      </c>
      <c r="D276">
        <v>122</v>
      </c>
      <c r="E276">
        <v>82</v>
      </c>
      <c r="F276">
        <v>3373</v>
      </c>
      <c r="G276">
        <v>3.7</v>
      </c>
      <c r="H276">
        <v>6</v>
      </c>
      <c r="I276" t="s">
        <v>19</v>
      </c>
      <c r="J276" t="s">
        <v>22</v>
      </c>
    </row>
    <row r="277" spans="1:10" x14ac:dyDescent="0.3">
      <c r="A277" t="s">
        <v>298</v>
      </c>
      <c r="B277" t="s">
        <v>15</v>
      </c>
      <c r="C277">
        <v>3.1</v>
      </c>
      <c r="D277">
        <v>445</v>
      </c>
      <c r="E277">
        <v>51</v>
      </c>
      <c r="F277">
        <v>3898</v>
      </c>
      <c r="G277">
        <v>5.7</v>
      </c>
      <c r="H277">
        <v>6</v>
      </c>
      <c r="I277" t="s">
        <v>12</v>
      </c>
      <c r="J277" t="s">
        <v>13</v>
      </c>
    </row>
    <row r="278" spans="1:10" x14ac:dyDescent="0.3">
      <c r="A278" t="s">
        <v>299</v>
      </c>
      <c r="B278" t="s">
        <v>27</v>
      </c>
      <c r="C278">
        <v>2.6</v>
      </c>
      <c r="D278">
        <v>386</v>
      </c>
      <c r="E278">
        <v>64</v>
      </c>
      <c r="F278">
        <v>3387</v>
      </c>
      <c r="G278">
        <v>6.7</v>
      </c>
      <c r="H278">
        <v>4</v>
      </c>
      <c r="I278" t="s">
        <v>19</v>
      </c>
      <c r="J278" t="s">
        <v>16</v>
      </c>
    </row>
    <row r="279" spans="1:10" x14ac:dyDescent="0.3">
      <c r="A279" t="s">
        <v>300</v>
      </c>
      <c r="B279" t="s">
        <v>30</v>
      </c>
      <c r="C279">
        <v>3.4</v>
      </c>
      <c r="D279">
        <v>282</v>
      </c>
      <c r="E279">
        <v>72</v>
      </c>
      <c r="F279">
        <v>3123</v>
      </c>
      <c r="G279">
        <v>3.4</v>
      </c>
      <c r="H279">
        <v>4</v>
      </c>
      <c r="I279" t="s">
        <v>19</v>
      </c>
      <c r="J279" t="s">
        <v>16</v>
      </c>
    </row>
    <row r="280" spans="1:10" x14ac:dyDescent="0.3">
      <c r="A280" t="s">
        <v>301</v>
      </c>
      <c r="B280" t="s">
        <v>30</v>
      </c>
      <c r="C280">
        <v>2.2999999999999998</v>
      </c>
      <c r="D280">
        <v>228</v>
      </c>
      <c r="E280">
        <v>107</v>
      </c>
      <c r="F280">
        <v>4283</v>
      </c>
      <c r="G280">
        <v>9.6999999999999993</v>
      </c>
      <c r="H280">
        <v>4</v>
      </c>
      <c r="I280" t="s">
        <v>12</v>
      </c>
      <c r="J280" t="s">
        <v>16</v>
      </c>
    </row>
    <row r="281" spans="1:10" x14ac:dyDescent="0.3">
      <c r="A281" t="s">
        <v>302</v>
      </c>
      <c r="B281" t="s">
        <v>11</v>
      </c>
      <c r="C281">
        <v>4.0999999999999996</v>
      </c>
      <c r="D281">
        <v>281</v>
      </c>
      <c r="E281">
        <v>32</v>
      </c>
      <c r="F281">
        <v>4444</v>
      </c>
      <c r="G281">
        <v>9.5</v>
      </c>
      <c r="H281">
        <v>4</v>
      </c>
      <c r="I281" t="s">
        <v>12</v>
      </c>
      <c r="J281" t="s">
        <v>13</v>
      </c>
    </row>
    <row r="282" spans="1:10" x14ac:dyDescent="0.3">
      <c r="A282" t="s">
        <v>303</v>
      </c>
      <c r="B282" t="s">
        <v>38</v>
      </c>
      <c r="C282">
        <v>4</v>
      </c>
      <c r="D282">
        <v>343</v>
      </c>
      <c r="E282">
        <v>58</v>
      </c>
      <c r="F282">
        <v>3437</v>
      </c>
      <c r="G282">
        <v>4.4000000000000004</v>
      </c>
      <c r="H282">
        <v>8</v>
      </c>
      <c r="I282" t="s">
        <v>24</v>
      </c>
      <c r="J282" t="s">
        <v>13</v>
      </c>
    </row>
    <row r="283" spans="1:10" x14ac:dyDescent="0.3">
      <c r="A283" t="s">
        <v>304</v>
      </c>
      <c r="B283" t="s">
        <v>30</v>
      </c>
      <c r="C283">
        <v>1.1000000000000001</v>
      </c>
      <c r="D283">
        <v>321</v>
      </c>
      <c r="E283">
        <v>35</v>
      </c>
      <c r="F283">
        <v>2751</v>
      </c>
      <c r="G283">
        <v>7.3</v>
      </c>
      <c r="H283">
        <v>6</v>
      </c>
      <c r="I283" t="s">
        <v>24</v>
      </c>
      <c r="J283" t="s">
        <v>16</v>
      </c>
    </row>
    <row r="284" spans="1:10" x14ac:dyDescent="0.3">
      <c r="A284" t="s">
        <v>305</v>
      </c>
      <c r="B284" t="s">
        <v>15</v>
      </c>
      <c r="C284">
        <v>2.7</v>
      </c>
      <c r="D284">
        <v>213</v>
      </c>
      <c r="E284">
        <v>103</v>
      </c>
      <c r="F284">
        <v>4225</v>
      </c>
      <c r="G284">
        <v>6.8</v>
      </c>
      <c r="H284">
        <v>4</v>
      </c>
      <c r="I284" t="s">
        <v>24</v>
      </c>
      <c r="J284" t="s">
        <v>16</v>
      </c>
    </row>
    <row r="285" spans="1:10" x14ac:dyDescent="0.3">
      <c r="A285" t="s">
        <v>306</v>
      </c>
      <c r="B285" t="s">
        <v>15</v>
      </c>
      <c r="C285">
        <v>3.1</v>
      </c>
      <c r="D285">
        <v>395</v>
      </c>
      <c r="E285">
        <v>97</v>
      </c>
      <c r="F285">
        <v>4344</v>
      </c>
      <c r="G285">
        <v>7.4</v>
      </c>
      <c r="H285">
        <v>6</v>
      </c>
      <c r="I285" t="s">
        <v>19</v>
      </c>
      <c r="J285" t="s">
        <v>16</v>
      </c>
    </row>
    <row r="286" spans="1:10" x14ac:dyDescent="0.3">
      <c r="A286" t="s">
        <v>307</v>
      </c>
      <c r="B286" t="s">
        <v>11</v>
      </c>
      <c r="C286">
        <v>3.9</v>
      </c>
      <c r="D286">
        <v>473</v>
      </c>
      <c r="E286">
        <v>116</v>
      </c>
      <c r="F286">
        <v>2698</v>
      </c>
      <c r="G286">
        <v>3.8</v>
      </c>
      <c r="H286">
        <v>6</v>
      </c>
      <c r="I286" t="s">
        <v>24</v>
      </c>
      <c r="J286" t="s">
        <v>16</v>
      </c>
    </row>
    <row r="287" spans="1:10" x14ac:dyDescent="0.3">
      <c r="A287" t="s">
        <v>308</v>
      </c>
      <c r="B287" t="s">
        <v>30</v>
      </c>
      <c r="C287">
        <v>2.2999999999999998</v>
      </c>
      <c r="D287">
        <v>389</v>
      </c>
      <c r="E287">
        <v>38</v>
      </c>
      <c r="F287">
        <v>2999</v>
      </c>
      <c r="G287">
        <v>8.6999999999999993</v>
      </c>
      <c r="H287">
        <v>8</v>
      </c>
      <c r="I287" t="s">
        <v>24</v>
      </c>
      <c r="J287" t="s">
        <v>13</v>
      </c>
    </row>
    <row r="288" spans="1:10" x14ac:dyDescent="0.3">
      <c r="A288" t="s">
        <v>309</v>
      </c>
      <c r="B288" t="s">
        <v>11</v>
      </c>
      <c r="C288">
        <v>4.5</v>
      </c>
      <c r="D288">
        <v>155</v>
      </c>
      <c r="E288">
        <v>58</v>
      </c>
      <c r="F288">
        <v>3630</v>
      </c>
      <c r="G288">
        <v>6.1</v>
      </c>
      <c r="H288">
        <v>6</v>
      </c>
      <c r="I288" t="s">
        <v>12</v>
      </c>
      <c r="J288" t="s">
        <v>16</v>
      </c>
    </row>
    <row r="289" spans="1:10" x14ac:dyDescent="0.3">
      <c r="A289" t="s">
        <v>310</v>
      </c>
      <c r="B289" t="s">
        <v>30</v>
      </c>
      <c r="C289">
        <v>3.6</v>
      </c>
      <c r="D289">
        <v>265</v>
      </c>
      <c r="E289">
        <v>83</v>
      </c>
      <c r="F289">
        <v>3205</v>
      </c>
      <c r="G289">
        <v>3.6</v>
      </c>
      <c r="H289">
        <v>6</v>
      </c>
      <c r="I289" t="s">
        <v>24</v>
      </c>
      <c r="J289" t="s">
        <v>22</v>
      </c>
    </row>
    <row r="290" spans="1:10" x14ac:dyDescent="0.3">
      <c r="A290" t="s">
        <v>311</v>
      </c>
      <c r="B290" t="s">
        <v>27</v>
      </c>
      <c r="C290">
        <v>2.4</v>
      </c>
      <c r="D290">
        <v>448</v>
      </c>
      <c r="E290">
        <v>91</v>
      </c>
      <c r="F290">
        <v>2967</v>
      </c>
      <c r="G290">
        <v>7.7</v>
      </c>
      <c r="H290">
        <v>4</v>
      </c>
      <c r="I290" t="s">
        <v>12</v>
      </c>
      <c r="J290" t="s">
        <v>16</v>
      </c>
    </row>
    <row r="291" spans="1:10" x14ac:dyDescent="0.3">
      <c r="A291" t="s">
        <v>312</v>
      </c>
      <c r="B291" t="s">
        <v>38</v>
      </c>
      <c r="C291">
        <v>3.6</v>
      </c>
      <c r="D291">
        <v>230</v>
      </c>
      <c r="E291">
        <v>20</v>
      </c>
      <c r="F291">
        <v>3518</v>
      </c>
      <c r="G291">
        <v>4.5999999999999996</v>
      </c>
      <c r="H291">
        <v>6</v>
      </c>
      <c r="I291" t="s">
        <v>19</v>
      </c>
      <c r="J291" t="s">
        <v>13</v>
      </c>
    </row>
    <row r="292" spans="1:10" x14ac:dyDescent="0.3">
      <c r="A292" t="s">
        <v>313</v>
      </c>
      <c r="B292" t="s">
        <v>41</v>
      </c>
      <c r="C292">
        <v>3.2</v>
      </c>
      <c r="D292">
        <v>453</v>
      </c>
      <c r="E292">
        <v>101</v>
      </c>
      <c r="F292">
        <v>3932</v>
      </c>
      <c r="G292">
        <v>6.2</v>
      </c>
      <c r="H292">
        <v>4</v>
      </c>
      <c r="I292" t="s">
        <v>24</v>
      </c>
      <c r="J292" t="s">
        <v>22</v>
      </c>
    </row>
    <row r="293" spans="1:10" x14ac:dyDescent="0.3">
      <c r="A293" t="s">
        <v>314</v>
      </c>
      <c r="B293" t="s">
        <v>27</v>
      </c>
      <c r="C293">
        <v>4.5999999999999996</v>
      </c>
      <c r="D293">
        <v>177</v>
      </c>
      <c r="E293">
        <v>76</v>
      </c>
      <c r="F293">
        <v>3815</v>
      </c>
      <c r="G293">
        <v>9.3000000000000007</v>
      </c>
      <c r="H293">
        <v>4</v>
      </c>
      <c r="I293" t="s">
        <v>12</v>
      </c>
      <c r="J293" t="s">
        <v>16</v>
      </c>
    </row>
    <row r="294" spans="1:10" x14ac:dyDescent="0.3">
      <c r="A294" t="s">
        <v>315</v>
      </c>
      <c r="B294" t="s">
        <v>30</v>
      </c>
      <c r="C294">
        <v>4.9000000000000004</v>
      </c>
      <c r="D294">
        <v>143</v>
      </c>
      <c r="E294">
        <v>91</v>
      </c>
      <c r="F294">
        <v>4465</v>
      </c>
      <c r="G294">
        <v>9.4</v>
      </c>
      <c r="H294">
        <v>4</v>
      </c>
      <c r="I294" t="s">
        <v>19</v>
      </c>
      <c r="J294" t="s">
        <v>13</v>
      </c>
    </row>
    <row r="295" spans="1:10" x14ac:dyDescent="0.3">
      <c r="A295" t="s">
        <v>316</v>
      </c>
      <c r="B295" t="s">
        <v>18</v>
      </c>
      <c r="C295">
        <v>1.2</v>
      </c>
      <c r="D295">
        <v>236</v>
      </c>
      <c r="E295">
        <v>26</v>
      </c>
      <c r="F295">
        <v>4346</v>
      </c>
      <c r="G295">
        <v>9.1999999999999993</v>
      </c>
      <c r="H295">
        <v>4</v>
      </c>
      <c r="I295" t="s">
        <v>12</v>
      </c>
      <c r="J295" t="s">
        <v>13</v>
      </c>
    </row>
    <row r="296" spans="1:10" x14ac:dyDescent="0.3">
      <c r="A296" t="s">
        <v>317</v>
      </c>
      <c r="B296" t="s">
        <v>11</v>
      </c>
      <c r="C296">
        <v>4.7</v>
      </c>
      <c r="D296">
        <v>388</v>
      </c>
      <c r="E296">
        <v>117</v>
      </c>
      <c r="F296">
        <v>2599</v>
      </c>
      <c r="G296">
        <v>6</v>
      </c>
      <c r="H296">
        <v>6</v>
      </c>
      <c r="I296" t="s">
        <v>24</v>
      </c>
      <c r="J296" t="s">
        <v>22</v>
      </c>
    </row>
    <row r="297" spans="1:10" x14ac:dyDescent="0.3">
      <c r="A297" t="s">
        <v>318</v>
      </c>
      <c r="B297" t="s">
        <v>27</v>
      </c>
      <c r="C297">
        <v>2.4</v>
      </c>
      <c r="D297">
        <v>321</v>
      </c>
      <c r="E297">
        <v>85</v>
      </c>
      <c r="F297">
        <v>4238</v>
      </c>
      <c r="G297">
        <v>9.3000000000000007</v>
      </c>
      <c r="H297">
        <v>4</v>
      </c>
      <c r="I297" t="s">
        <v>12</v>
      </c>
      <c r="J297" t="s">
        <v>22</v>
      </c>
    </row>
    <row r="298" spans="1:10" x14ac:dyDescent="0.3">
      <c r="A298" t="s">
        <v>319</v>
      </c>
      <c r="B298" t="s">
        <v>18</v>
      </c>
      <c r="C298">
        <v>1.3</v>
      </c>
      <c r="D298">
        <v>485</v>
      </c>
      <c r="E298">
        <v>106</v>
      </c>
      <c r="F298">
        <v>3137</v>
      </c>
      <c r="G298">
        <v>3.2</v>
      </c>
      <c r="H298">
        <v>6</v>
      </c>
      <c r="I298" t="s">
        <v>24</v>
      </c>
      <c r="J298" t="s">
        <v>16</v>
      </c>
    </row>
    <row r="299" spans="1:10" x14ac:dyDescent="0.3">
      <c r="A299" t="s">
        <v>320</v>
      </c>
      <c r="B299" t="s">
        <v>15</v>
      </c>
      <c r="C299">
        <v>3.9</v>
      </c>
      <c r="D299">
        <v>172</v>
      </c>
      <c r="E299">
        <v>95</v>
      </c>
      <c r="F299">
        <v>4436</v>
      </c>
      <c r="G299">
        <v>7.6</v>
      </c>
      <c r="H299">
        <v>6</v>
      </c>
      <c r="I299" t="s">
        <v>19</v>
      </c>
      <c r="J299" t="s">
        <v>13</v>
      </c>
    </row>
    <row r="300" spans="1:10" x14ac:dyDescent="0.3">
      <c r="A300" t="s">
        <v>321</v>
      </c>
      <c r="B300" t="s">
        <v>15</v>
      </c>
      <c r="C300">
        <v>4.8</v>
      </c>
      <c r="D300">
        <v>486</v>
      </c>
      <c r="E300">
        <v>28</v>
      </c>
      <c r="F300">
        <v>2725</v>
      </c>
      <c r="G300">
        <v>7.5</v>
      </c>
      <c r="H300">
        <v>4</v>
      </c>
      <c r="I300" t="s">
        <v>19</v>
      </c>
      <c r="J300" t="s">
        <v>16</v>
      </c>
    </row>
    <row r="301" spans="1:10" x14ac:dyDescent="0.3">
      <c r="A301" t="s">
        <v>322</v>
      </c>
      <c r="B301" t="s">
        <v>15</v>
      </c>
      <c r="C301">
        <v>4.4000000000000004</v>
      </c>
      <c r="D301">
        <v>200</v>
      </c>
      <c r="E301">
        <v>102</v>
      </c>
      <c r="F301">
        <v>3557</v>
      </c>
      <c r="G301">
        <v>5.2</v>
      </c>
      <c r="H301">
        <v>4</v>
      </c>
      <c r="I301" t="s">
        <v>12</v>
      </c>
      <c r="J301" t="s">
        <v>13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A3816-AC5E-407B-8C11-3A5E62ECAB09}">
  <dimension ref="A3:K13"/>
  <sheetViews>
    <sheetView zoomScale="62" workbookViewId="0">
      <selection activeCell="Q36" sqref="Q36"/>
    </sheetView>
  </sheetViews>
  <sheetFormatPr defaultRowHeight="14.4" x14ac:dyDescent="0.3"/>
  <cols>
    <col min="1" max="1" width="20.33203125" bestFit="1" customWidth="1"/>
    <col min="2" max="2" width="27.33203125" bestFit="1" customWidth="1"/>
    <col min="4" max="4" width="18.88671875" bestFit="1" customWidth="1"/>
    <col min="5" max="5" width="19.77734375" bestFit="1" customWidth="1"/>
    <col min="7" max="7" width="18.88671875" bestFit="1" customWidth="1"/>
    <col min="8" max="8" width="28.77734375" bestFit="1" customWidth="1"/>
    <col min="9" max="9" width="13.5546875" bestFit="1" customWidth="1"/>
    <col min="10" max="10" width="18.88671875" bestFit="1" customWidth="1"/>
    <col min="11" max="11" width="28.44140625" bestFit="1" customWidth="1"/>
  </cols>
  <sheetData>
    <row r="3" spans="1:11" x14ac:dyDescent="0.3">
      <c r="A3" s="6" t="s">
        <v>330</v>
      </c>
      <c r="B3" s="6" t="s">
        <v>323</v>
      </c>
      <c r="D3" s="6" t="s">
        <v>324</v>
      </c>
      <c r="E3" s="6" t="s">
        <v>325</v>
      </c>
      <c r="G3" s="6" t="s">
        <v>327</v>
      </c>
      <c r="H3" s="6" t="s">
        <v>328</v>
      </c>
      <c r="J3" s="6" t="s">
        <v>331</v>
      </c>
      <c r="K3" s="6" t="s">
        <v>329</v>
      </c>
    </row>
    <row r="4" spans="1:11" x14ac:dyDescent="0.3">
      <c r="A4" s="4" t="s">
        <v>38</v>
      </c>
      <c r="B4" s="5">
        <v>264.85714285714283</v>
      </c>
      <c r="D4" s="1" t="s">
        <v>19</v>
      </c>
      <c r="E4" s="2">
        <v>54</v>
      </c>
      <c r="G4" s="1" t="s">
        <v>16</v>
      </c>
      <c r="H4" s="2">
        <v>16</v>
      </c>
      <c r="J4" s="1" t="s">
        <v>38</v>
      </c>
      <c r="K4" s="2">
        <v>6.5928571428571434</v>
      </c>
    </row>
    <row r="5" spans="1:11" x14ac:dyDescent="0.3">
      <c r="A5" s="4" t="s">
        <v>15</v>
      </c>
      <c r="B5" s="5">
        <v>331</v>
      </c>
      <c r="G5" s="1" t="s">
        <v>13</v>
      </c>
      <c r="H5" s="2">
        <v>21</v>
      </c>
      <c r="J5" s="1" t="s">
        <v>15</v>
      </c>
      <c r="K5" s="2">
        <v>6.8624999999999998</v>
      </c>
    </row>
    <row r="6" spans="1:11" x14ac:dyDescent="0.3">
      <c r="A6" s="4" t="s">
        <v>41</v>
      </c>
      <c r="B6" s="5">
        <v>316.18181818181819</v>
      </c>
      <c r="G6" s="1" t="s">
        <v>22</v>
      </c>
      <c r="H6" s="2">
        <v>17</v>
      </c>
      <c r="J6" s="1" t="s">
        <v>41</v>
      </c>
      <c r="K6" s="2">
        <v>5.709090909090909</v>
      </c>
    </row>
    <row r="7" spans="1:11" x14ac:dyDescent="0.3">
      <c r="A7" s="4" t="s">
        <v>11</v>
      </c>
      <c r="B7" s="5">
        <v>330.53846153846155</v>
      </c>
      <c r="J7" s="1" t="s">
        <v>11</v>
      </c>
      <c r="K7" s="2">
        <v>6.8076923076923075</v>
      </c>
    </row>
    <row r="9" spans="1:11" x14ac:dyDescent="0.3">
      <c r="D9" s="6" t="s">
        <v>331</v>
      </c>
      <c r="E9" s="6" t="s">
        <v>326</v>
      </c>
      <c r="G9" s="6" t="s">
        <v>331</v>
      </c>
      <c r="H9" s="6" t="s">
        <v>332</v>
      </c>
    </row>
    <row r="10" spans="1:11" x14ac:dyDescent="0.3">
      <c r="D10" s="1" t="s">
        <v>38</v>
      </c>
      <c r="E10" s="2">
        <v>73.071428571428569</v>
      </c>
      <c r="G10" s="1" t="s">
        <v>38</v>
      </c>
      <c r="H10" s="2">
        <v>3.3857142857142861</v>
      </c>
    </row>
    <row r="11" spans="1:11" x14ac:dyDescent="0.3">
      <c r="D11" s="1" t="s">
        <v>15</v>
      </c>
      <c r="E11" s="2">
        <v>58.8125</v>
      </c>
      <c r="G11" s="1" t="s">
        <v>15</v>
      </c>
      <c r="H11" s="2">
        <v>3.3249999999999997</v>
      </c>
    </row>
    <row r="12" spans="1:11" x14ac:dyDescent="0.3">
      <c r="D12" s="1" t="s">
        <v>41</v>
      </c>
      <c r="E12" s="2">
        <v>69.454545454545453</v>
      </c>
      <c r="G12" s="1" t="s">
        <v>41</v>
      </c>
      <c r="H12" s="2">
        <v>3.1181818181818186</v>
      </c>
    </row>
    <row r="13" spans="1:11" x14ac:dyDescent="0.3">
      <c r="D13" s="1" t="s">
        <v>11</v>
      </c>
      <c r="E13" s="2">
        <v>60.230769230769234</v>
      </c>
      <c r="G13" s="1" t="s">
        <v>11</v>
      </c>
      <c r="H13" s="2">
        <v>2.9846153846153842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2F2E7-B55C-4802-9550-5B99A60F3B79}">
  <sheetPr>
    <pageSetUpPr fitToPage="1"/>
  </sheetPr>
  <dimension ref="A1:V15"/>
  <sheetViews>
    <sheetView showGridLines="0" tabSelected="1" zoomScaleNormal="100" workbookViewId="0">
      <selection activeCell="I27" sqref="I27"/>
    </sheetView>
  </sheetViews>
  <sheetFormatPr defaultRowHeight="14.4" x14ac:dyDescent="0.3"/>
  <cols>
    <col min="3" max="3" width="10.77734375" bestFit="1" customWidth="1"/>
    <col min="7" max="7" width="11.44140625" bestFit="1" customWidth="1"/>
    <col min="8" max="8" width="8.6640625" bestFit="1" customWidth="1"/>
    <col min="9" max="9" width="9.5546875" bestFit="1" customWidth="1"/>
    <col min="10" max="11" width="12" bestFit="1" customWidth="1"/>
    <col min="15" max="15" width="8.88671875" customWidth="1"/>
    <col min="20" max="20" width="17.88671875" customWidth="1"/>
  </cols>
  <sheetData>
    <row r="1" spans="1:22" x14ac:dyDescent="0.3">
      <c r="A1" s="7" t="s">
        <v>333</v>
      </c>
      <c r="B1" s="7"/>
      <c r="C1" s="7"/>
      <c r="D1" s="7"/>
      <c r="E1" s="7"/>
      <c r="F1" s="7"/>
      <c r="G1" s="7"/>
      <c r="H1" s="7"/>
      <c r="I1" s="7"/>
      <c r="J1" s="7"/>
      <c r="K1" s="7"/>
      <c r="L1" s="7"/>
      <c r="M1" s="7"/>
      <c r="N1" s="7"/>
      <c r="O1" s="7"/>
      <c r="P1" s="7"/>
      <c r="Q1" s="7"/>
      <c r="R1" s="7"/>
      <c r="S1" s="7"/>
      <c r="T1" s="7"/>
      <c r="U1" s="7"/>
      <c r="V1" s="7"/>
    </row>
    <row r="2" spans="1:22" x14ac:dyDescent="0.3">
      <c r="A2" s="7"/>
      <c r="B2" s="7"/>
      <c r="C2" s="7"/>
      <c r="D2" s="7"/>
      <c r="E2" s="7"/>
      <c r="F2" s="7"/>
      <c r="G2" s="7"/>
      <c r="H2" s="7"/>
      <c r="I2" s="7"/>
      <c r="J2" s="7"/>
      <c r="K2" s="7"/>
      <c r="L2" s="7"/>
      <c r="M2" s="7"/>
      <c r="N2" s="7"/>
      <c r="O2" s="7"/>
      <c r="P2" s="7"/>
      <c r="Q2" s="7"/>
      <c r="R2" s="7"/>
      <c r="S2" s="7"/>
      <c r="T2" s="7"/>
      <c r="U2" s="7"/>
      <c r="V2" s="7"/>
    </row>
    <row r="3" spans="1:22" x14ac:dyDescent="0.3">
      <c r="A3" s="7"/>
      <c r="B3" s="7"/>
      <c r="C3" s="7"/>
      <c r="D3" s="7"/>
      <c r="E3" s="7"/>
      <c r="F3" s="7"/>
      <c r="G3" s="7"/>
      <c r="H3" s="7"/>
      <c r="I3" s="7"/>
      <c r="J3" s="7"/>
      <c r="K3" s="7"/>
      <c r="L3" s="7"/>
      <c r="M3" s="7"/>
      <c r="N3" s="7"/>
      <c r="O3" s="7"/>
      <c r="P3" s="7"/>
      <c r="Q3" s="7"/>
      <c r="R3" s="7"/>
      <c r="S3" s="7"/>
      <c r="T3" s="7"/>
      <c r="U3" s="7"/>
      <c r="V3" s="7"/>
    </row>
    <row r="7" spans="1:22" x14ac:dyDescent="0.3">
      <c r="I7" s="3"/>
    </row>
    <row r="15" spans="1:22" x14ac:dyDescent="0.3">
      <c r="Q15">
        <f>+O16</f>
        <v>0</v>
      </c>
    </row>
  </sheetData>
  <mergeCells count="1">
    <mergeCell ref="A1:V3"/>
  </mergeCells>
  <pageMargins left="0.25" right="0.25" top="0.75" bottom="0.75" header="0.3" footer="0.3"/>
  <pageSetup paperSize="9" scale="47"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Car_Data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Jitu prajapati</cp:lastModifiedBy>
  <dcterms:created xsi:type="dcterms:W3CDTF">2026-03-18T15:17:38Z</dcterms:created>
  <dcterms:modified xsi:type="dcterms:W3CDTF">2026-03-19T19:23:59Z</dcterms:modified>
</cp:coreProperties>
</file>